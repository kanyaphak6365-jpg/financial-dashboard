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o365cmu-my.sharepoint.com/personal/kanyaphak_su_cmu_ac_th/Documents/KANYAPHAK/07 นำเสนอข้อมูล กบว/00-นำเสนอข้อมูล/"/>
    </mc:Choice>
  </mc:AlternateContent>
  <xr:revisionPtr revIDLastSave="283" documentId="11_328A28D6332C55D98B583AA4756567A8E4791857" xr6:coauthVersionLast="47" xr6:coauthVersionMax="47" xr10:uidLastSave="{D42CCFE2-4DA1-41D8-826A-CFEF06979621}"/>
  <bookViews>
    <workbookView xWindow="-120" yWindow="-120" windowWidth="25440" windowHeight="15270" tabRatio="500" firstSheet="1" activeTab="2" xr2:uid="{00000000-000D-0000-FFFF-FFFF00000000}"/>
  </bookViews>
  <sheets>
    <sheet name="README" sheetId="1" r:id="rId1"/>
    <sheet name="Master_Data" sheetId="2" r:id="rId2"/>
    <sheet name="รายการรายรับ" sheetId="3" r:id="rId3"/>
    <sheet name="รายการค่าใช้จ่าย" sheetId="4" r:id="rId4"/>
    <sheet name="เงินสะสมรายเดือน" sheetId="5" r:id="rId5"/>
    <sheet name="Dashboard_Data" sheetId="6" r:id="rId6"/>
  </sheets>
  <definedNames>
    <definedName name="ExpenseCats">Master_Data!$D$8:$D$27</definedName>
    <definedName name="IncomeCats">Master_Data!$C$8:$C$17</definedName>
    <definedName name="Units">Master_Data!$B$8:$B$17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" i="3" l="1"/>
  <c r="H13" i="3"/>
  <c r="H6" i="3"/>
  <c r="E18" i="5" l="1"/>
  <c r="D15" i="5"/>
  <c r="D19" i="5" s="1"/>
  <c r="E19" i="5" l="1"/>
  <c r="I7" i="5"/>
  <c r="H7" i="5"/>
  <c r="D78" i="6" l="1"/>
  <c r="H9" i="3"/>
  <c r="I13" i="3" l="1"/>
  <c r="I6" i="4"/>
  <c r="F95" i="6"/>
  <c r="E95" i="6"/>
  <c r="D95" i="6"/>
  <c r="C95" i="6"/>
  <c r="B95" i="6"/>
  <c r="F94" i="6"/>
  <c r="E94" i="6"/>
  <c r="D94" i="6"/>
  <c r="C94" i="6"/>
  <c r="B94" i="6"/>
  <c r="F93" i="6"/>
  <c r="E93" i="6"/>
  <c r="D93" i="6"/>
  <c r="C93" i="6"/>
  <c r="B93" i="6"/>
  <c r="F92" i="6"/>
  <c r="E92" i="6"/>
  <c r="D92" i="6"/>
  <c r="C92" i="6"/>
  <c r="B92" i="6"/>
  <c r="F91" i="6"/>
  <c r="E91" i="6"/>
  <c r="D91" i="6"/>
  <c r="C91" i="6"/>
  <c r="B91" i="6"/>
  <c r="F90" i="6"/>
  <c r="E90" i="6"/>
  <c r="D90" i="6"/>
  <c r="C90" i="6"/>
  <c r="B90" i="6"/>
  <c r="F89" i="6"/>
  <c r="E89" i="6"/>
  <c r="D89" i="6"/>
  <c r="C89" i="6"/>
  <c r="B89" i="6"/>
  <c r="F88" i="6"/>
  <c r="E88" i="6"/>
  <c r="D88" i="6"/>
  <c r="C88" i="6"/>
  <c r="B88" i="6"/>
  <c r="F87" i="6"/>
  <c r="E87" i="6"/>
  <c r="D87" i="6"/>
  <c r="C87" i="6"/>
  <c r="B87" i="6"/>
  <c r="F86" i="6"/>
  <c r="E86" i="6"/>
  <c r="D86" i="6"/>
  <c r="C86" i="6"/>
  <c r="B86" i="6"/>
  <c r="F85" i="6"/>
  <c r="E85" i="6"/>
  <c r="D85" i="6"/>
  <c r="C85" i="6"/>
  <c r="B85" i="6"/>
  <c r="F84" i="6"/>
  <c r="E84" i="6"/>
  <c r="D84" i="6"/>
  <c r="C84" i="6"/>
  <c r="B84" i="6"/>
  <c r="F80" i="6"/>
  <c r="D80" i="6"/>
  <c r="C80" i="6"/>
  <c r="F79" i="6"/>
  <c r="D79" i="6"/>
  <c r="C79" i="6"/>
  <c r="F78" i="6"/>
  <c r="C78" i="6"/>
  <c r="E74" i="6"/>
  <c r="F74" i="6" s="1"/>
  <c r="D74" i="6"/>
  <c r="F73" i="6"/>
  <c r="E73" i="6"/>
  <c r="D73" i="6"/>
  <c r="E72" i="6"/>
  <c r="D72" i="6"/>
  <c r="F72" i="6" s="1"/>
  <c r="E71" i="6"/>
  <c r="D71" i="6"/>
  <c r="F71" i="6" s="1"/>
  <c r="F70" i="6"/>
  <c r="E70" i="6"/>
  <c r="D70" i="6"/>
  <c r="F69" i="6"/>
  <c r="E69" i="6"/>
  <c r="D69" i="6"/>
  <c r="E68" i="6"/>
  <c r="D68" i="6"/>
  <c r="F68" i="6" s="1"/>
  <c r="E67" i="6"/>
  <c r="D67" i="6"/>
  <c r="F67" i="6" s="1"/>
  <c r="F66" i="6"/>
  <c r="E66" i="6"/>
  <c r="D66" i="6"/>
  <c r="F65" i="6"/>
  <c r="E65" i="6"/>
  <c r="D65" i="6"/>
  <c r="E64" i="6"/>
  <c r="D64" i="6"/>
  <c r="F64" i="6" s="1"/>
  <c r="E63" i="6"/>
  <c r="D63" i="6"/>
  <c r="F63" i="6" s="1"/>
  <c r="F62" i="6"/>
  <c r="E62" i="6"/>
  <c r="D62" i="6"/>
  <c r="F61" i="6"/>
  <c r="E61" i="6"/>
  <c r="D61" i="6"/>
  <c r="E60" i="6"/>
  <c r="D60" i="6"/>
  <c r="E59" i="6"/>
  <c r="D59" i="6"/>
  <c r="F58" i="6"/>
  <c r="E58" i="6"/>
  <c r="D58" i="6"/>
  <c r="F57" i="6"/>
  <c r="E57" i="6"/>
  <c r="D57" i="6"/>
  <c r="E56" i="6"/>
  <c r="D56" i="6"/>
  <c r="F56" i="6" s="1"/>
  <c r="E55" i="6"/>
  <c r="D55" i="6"/>
  <c r="F55" i="6" s="1"/>
  <c r="F54" i="6"/>
  <c r="E54" i="6"/>
  <c r="D54" i="6"/>
  <c r="F53" i="6"/>
  <c r="E53" i="6"/>
  <c r="D53" i="6"/>
  <c r="E52" i="6"/>
  <c r="D52" i="6"/>
  <c r="F52" i="6" s="1"/>
  <c r="E51" i="6"/>
  <c r="D51" i="6"/>
  <c r="F51" i="6" s="1"/>
  <c r="F50" i="6"/>
  <c r="E50" i="6"/>
  <c r="D50" i="6"/>
  <c r="F49" i="6"/>
  <c r="E49" i="6"/>
  <c r="D49" i="6"/>
  <c r="E48" i="6"/>
  <c r="D48" i="6"/>
  <c r="F48" i="6" s="1"/>
  <c r="E47" i="6"/>
  <c r="D47" i="6"/>
  <c r="F47" i="6" s="1"/>
  <c r="F46" i="6"/>
  <c r="E46" i="6"/>
  <c r="D46" i="6"/>
  <c r="E45" i="6"/>
  <c r="F45" i="6" s="1"/>
  <c r="D45" i="6"/>
  <c r="E44" i="6"/>
  <c r="D44" i="6"/>
  <c r="E43" i="6"/>
  <c r="D43" i="6"/>
  <c r="E42" i="6"/>
  <c r="F42" i="6" s="1"/>
  <c r="D42" i="6"/>
  <c r="E41" i="6"/>
  <c r="F41" i="6" s="1"/>
  <c r="D41" i="6"/>
  <c r="E40" i="6"/>
  <c r="D40" i="6"/>
  <c r="E39" i="6"/>
  <c r="D39" i="6"/>
  <c r="E38" i="6"/>
  <c r="F38" i="6" s="1"/>
  <c r="D38" i="6"/>
  <c r="E37" i="6"/>
  <c r="F37" i="6" s="1"/>
  <c r="D37" i="6"/>
  <c r="E36" i="6"/>
  <c r="F36" i="6" s="1"/>
  <c r="D36" i="6"/>
  <c r="G32" i="6"/>
  <c r="F32" i="6"/>
  <c r="E32" i="6"/>
  <c r="D32" i="6"/>
  <c r="G31" i="6"/>
  <c r="F31" i="6"/>
  <c r="E31" i="6"/>
  <c r="D31" i="6"/>
  <c r="G30" i="6"/>
  <c r="F30" i="6"/>
  <c r="E30" i="6"/>
  <c r="D30" i="6"/>
  <c r="G29" i="6"/>
  <c r="F29" i="6"/>
  <c r="E29" i="6"/>
  <c r="D29" i="6"/>
  <c r="F28" i="6"/>
  <c r="E28" i="6"/>
  <c r="D28" i="6"/>
  <c r="G27" i="6"/>
  <c r="F27" i="6"/>
  <c r="E27" i="6"/>
  <c r="D27" i="6"/>
  <c r="G26" i="6"/>
  <c r="F26" i="6"/>
  <c r="E26" i="6"/>
  <c r="D26" i="6"/>
  <c r="G25" i="6"/>
  <c r="F25" i="6"/>
  <c r="E25" i="6"/>
  <c r="D25" i="6"/>
  <c r="F24" i="6"/>
  <c r="E24" i="6"/>
  <c r="D24" i="6"/>
  <c r="F23" i="6"/>
  <c r="E23" i="6"/>
  <c r="D23" i="6"/>
  <c r="F22" i="6"/>
  <c r="E22" i="6"/>
  <c r="D22" i="6"/>
  <c r="F21" i="6"/>
  <c r="E21" i="6"/>
  <c r="D21" i="6"/>
  <c r="C17" i="6"/>
  <c r="C16" i="6"/>
  <c r="C15" i="6"/>
  <c r="C14" i="6"/>
  <c r="C10" i="6"/>
  <c r="C8" i="6"/>
  <c r="C7" i="6"/>
  <c r="C6" i="6"/>
  <c r="G19" i="5"/>
  <c r="I19" i="5" s="1"/>
  <c r="F19" i="5"/>
  <c r="I18" i="5"/>
  <c r="G95" i="6" s="1"/>
  <c r="H18" i="5"/>
  <c r="I17" i="5"/>
  <c r="G94" i="6" s="1"/>
  <c r="H17" i="5"/>
  <c r="I16" i="5"/>
  <c r="G93" i="6" s="1"/>
  <c r="H16" i="5"/>
  <c r="I15" i="5"/>
  <c r="G92" i="6" s="1"/>
  <c r="H15" i="5"/>
  <c r="I14" i="5"/>
  <c r="G91" i="6" s="1"/>
  <c r="H14" i="5"/>
  <c r="I13" i="5"/>
  <c r="G90" i="6" s="1"/>
  <c r="H13" i="5"/>
  <c r="I12" i="5"/>
  <c r="G89" i="6" s="1"/>
  <c r="H12" i="5"/>
  <c r="I11" i="5"/>
  <c r="G88" i="6" s="1"/>
  <c r="H11" i="5"/>
  <c r="I10" i="5"/>
  <c r="G87" i="6" s="1"/>
  <c r="H10" i="5"/>
  <c r="I9" i="5"/>
  <c r="G86" i="6" s="1"/>
  <c r="H9" i="5"/>
  <c r="I8" i="5"/>
  <c r="G85" i="6" s="1"/>
  <c r="H8" i="5"/>
  <c r="G84" i="6"/>
  <c r="C4" i="5"/>
  <c r="H206" i="4"/>
  <c r="G206" i="4"/>
  <c r="J205" i="4"/>
  <c r="I205" i="4"/>
  <c r="C205" i="4"/>
  <c r="B205" i="4"/>
  <c r="J204" i="4"/>
  <c r="I204" i="4"/>
  <c r="C204" i="4"/>
  <c r="B204" i="4"/>
  <c r="J203" i="4"/>
  <c r="I203" i="4"/>
  <c r="C203" i="4"/>
  <c r="B203" i="4"/>
  <c r="J202" i="4"/>
  <c r="I202" i="4"/>
  <c r="C202" i="4"/>
  <c r="B202" i="4"/>
  <c r="J201" i="4"/>
  <c r="I201" i="4"/>
  <c r="C201" i="4"/>
  <c r="B201" i="4"/>
  <c r="J200" i="4"/>
  <c r="I200" i="4"/>
  <c r="C200" i="4"/>
  <c r="B200" i="4"/>
  <c r="J199" i="4"/>
  <c r="I199" i="4"/>
  <c r="C199" i="4"/>
  <c r="B199" i="4"/>
  <c r="J198" i="4"/>
  <c r="I198" i="4"/>
  <c r="C198" i="4"/>
  <c r="B198" i="4"/>
  <c r="J197" i="4"/>
  <c r="I197" i="4"/>
  <c r="C197" i="4"/>
  <c r="B197" i="4"/>
  <c r="J196" i="4"/>
  <c r="I196" i="4"/>
  <c r="C196" i="4"/>
  <c r="B196" i="4"/>
  <c r="J195" i="4"/>
  <c r="I195" i="4"/>
  <c r="C195" i="4"/>
  <c r="B195" i="4"/>
  <c r="J194" i="4"/>
  <c r="I194" i="4"/>
  <c r="C194" i="4"/>
  <c r="B194" i="4"/>
  <c r="J193" i="4"/>
  <c r="I193" i="4"/>
  <c r="C193" i="4"/>
  <c r="B193" i="4"/>
  <c r="J192" i="4"/>
  <c r="I192" i="4"/>
  <c r="C192" i="4"/>
  <c r="B192" i="4"/>
  <c r="J191" i="4"/>
  <c r="I191" i="4"/>
  <c r="C191" i="4"/>
  <c r="B191" i="4"/>
  <c r="J190" i="4"/>
  <c r="I190" i="4"/>
  <c r="C190" i="4"/>
  <c r="B190" i="4"/>
  <c r="J189" i="4"/>
  <c r="I189" i="4"/>
  <c r="C189" i="4"/>
  <c r="B189" i="4"/>
  <c r="J188" i="4"/>
  <c r="I188" i="4"/>
  <c r="C188" i="4"/>
  <c r="B188" i="4"/>
  <c r="J187" i="4"/>
  <c r="I187" i="4"/>
  <c r="C187" i="4"/>
  <c r="B187" i="4"/>
  <c r="J186" i="4"/>
  <c r="I186" i="4"/>
  <c r="C186" i="4"/>
  <c r="B186" i="4"/>
  <c r="J185" i="4"/>
  <c r="I185" i="4"/>
  <c r="C185" i="4"/>
  <c r="B185" i="4"/>
  <c r="J184" i="4"/>
  <c r="I184" i="4"/>
  <c r="C184" i="4"/>
  <c r="B184" i="4"/>
  <c r="J183" i="4"/>
  <c r="I183" i="4"/>
  <c r="C183" i="4"/>
  <c r="B183" i="4"/>
  <c r="J182" i="4"/>
  <c r="I182" i="4"/>
  <c r="C182" i="4"/>
  <c r="B182" i="4"/>
  <c r="J181" i="4"/>
  <c r="I181" i="4"/>
  <c r="C181" i="4"/>
  <c r="B181" i="4"/>
  <c r="J180" i="4"/>
  <c r="I180" i="4"/>
  <c r="C180" i="4"/>
  <c r="B180" i="4"/>
  <c r="J179" i="4"/>
  <c r="I179" i="4"/>
  <c r="C179" i="4"/>
  <c r="B179" i="4"/>
  <c r="J178" i="4"/>
  <c r="I178" i="4"/>
  <c r="C178" i="4"/>
  <c r="B178" i="4"/>
  <c r="J177" i="4"/>
  <c r="I177" i="4"/>
  <c r="C177" i="4"/>
  <c r="B177" i="4"/>
  <c r="J176" i="4"/>
  <c r="I176" i="4"/>
  <c r="C176" i="4"/>
  <c r="B176" i="4"/>
  <c r="J175" i="4"/>
  <c r="I175" i="4"/>
  <c r="C175" i="4"/>
  <c r="B175" i="4"/>
  <c r="J174" i="4"/>
  <c r="I174" i="4"/>
  <c r="C174" i="4"/>
  <c r="B174" i="4"/>
  <c r="J173" i="4"/>
  <c r="I173" i="4"/>
  <c r="C173" i="4"/>
  <c r="B173" i="4"/>
  <c r="J172" i="4"/>
  <c r="I172" i="4"/>
  <c r="C172" i="4"/>
  <c r="B172" i="4"/>
  <c r="J171" i="4"/>
  <c r="I171" i="4"/>
  <c r="C171" i="4"/>
  <c r="B171" i="4"/>
  <c r="J170" i="4"/>
  <c r="I170" i="4"/>
  <c r="C170" i="4"/>
  <c r="B170" i="4"/>
  <c r="J169" i="4"/>
  <c r="I169" i="4"/>
  <c r="C169" i="4"/>
  <c r="B169" i="4"/>
  <c r="J168" i="4"/>
  <c r="I168" i="4"/>
  <c r="C168" i="4"/>
  <c r="B168" i="4"/>
  <c r="J167" i="4"/>
  <c r="I167" i="4"/>
  <c r="C167" i="4"/>
  <c r="B167" i="4"/>
  <c r="J166" i="4"/>
  <c r="I166" i="4"/>
  <c r="C166" i="4"/>
  <c r="B166" i="4"/>
  <c r="J165" i="4"/>
  <c r="I165" i="4"/>
  <c r="C165" i="4"/>
  <c r="B165" i="4"/>
  <c r="J164" i="4"/>
  <c r="I164" i="4"/>
  <c r="C164" i="4"/>
  <c r="B164" i="4"/>
  <c r="J163" i="4"/>
  <c r="I163" i="4"/>
  <c r="C163" i="4"/>
  <c r="B163" i="4"/>
  <c r="J162" i="4"/>
  <c r="I162" i="4"/>
  <c r="C162" i="4"/>
  <c r="B162" i="4"/>
  <c r="J161" i="4"/>
  <c r="I161" i="4"/>
  <c r="C161" i="4"/>
  <c r="B161" i="4"/>
  <c r="J160" i="4"/>
  <c r="I160" i="4"/>
  <c r="C160" i="4"/>
  <c r="B160" i="4"/>
  <c r="J159" i="4"/>
  <c r="I159" i="4"/>
  <c r="C159" i="4"/>
  <c r="B159" i="4"/>
  <c r="J158" i="4"/>
  <c r="I158" i="4"/>
  <c r="C158" i="4"/>
  <c r="B158" i="4"/>
  <c r="J157" i="4"/>
  <c r="I157" i="4"/>
  <c r="C157" i="4"/>
  <c r="B157" i="4"/>
  <c r="J156" i="4"/>
  <c r="I156" i="4"/>
  <c r="C156" i="4"/>
  <c r="B156" i="4"/>
  <c r="J155" i="4"/>
  <c r="I155" i="4"/>
  <c r="C155" i="4"/>
  <c r="B155" i="4"/>
  <c r="J154" i="4"/>
  <c r="I154" i="4"/>
  <c r="C154" i="4"/>
  <c r="B154" i="4"/>
  <c r="J153" i="4"/>
  <c r="I153" i="4"/>
  <c r="C153" i="4"/>
  <c r="B153" i="4"/>
  <c r="J152" i="4"/>
  <c r="I152" i="4"/>
  <c r="C152" i="4"/>
  <c r="B152" i="4"/>
  <c r="J151" i="4"/>
  <c r="I151" i="4"/>
  <c r="C151" i="4"/>
  <c r="B151" i="4"/>
  <c r="J150" i="4"/>
  <c r="I150" i="4"/>
  <c r="C150" i="4"/>
  <c r="B150" i="4"/>
  <c r="J149" i="4"/>
  <c r="I149" i="4"/>
  <c r="C149" i="4"/>
  <c r="B149" i="4"/>
  <c r="J148" i="4"/>
  <c r="I148" i="4"/>
  <c r="C148" i="4"/>
  <c r="B148" i="4"/>
  <c r="J147" i="4"/>
  <c r="I147" i="4"/>
  <c r="C147" i="4"/>
  <c r="B147" i="4"/>
  <c r="J146" i="4"/>
  <c r="I146" i="4"/>
  <c r="C146" i="4"/>
  <c r="B146" i="4"/>
  <c r="J145" i="4"/>
  <c r="I145" i="4"/>
  <c r="C145" i="4"/>
  <c r="B145" i="4"/>
  <c r="J144" i="4"/>
  <c r="I144" i="4"/>
  <c r="C144" i="4"/>
  <c r="B144" i="4"/>
  <c r="J143" i="4"/>
  <c r="I143" i="4"/>
  <c r="C143" i="4"/>
  <c r="B143" i="4"/>
  <c r="J142" i="4"/>
  <c r="I142" i="4"/>
  <c r="C142" i="4"/>
  <c r="B142" i="4"/>
  <c r="J141" i="4"/>
  <c r="I141" i="4"/>
  <c r="C141" i="4"/>
  <c r="B141" i="4"/>
  <c r="J140" i="4"/>
  <c r="I140" i="4"/>
  <c r="C140" i="4"/>
  <c r="B140" i="4"/>
  <c r="J139" i="4"/>
  <c r="I139" i="4"/>
  <c r="C139" i="4"/>
  <c r="B139" i="4"/>
  <c r="J138" i="4"/>
  <c r="I138" i="4"/>
  <c r="C138" i="4"/>
  <c r="B138" i="4"/>
  <c r="J137" i="4"/>
  <c r="I137" i="4"/>
  <c r="C137" i="4"/>
  <c r="B137" i="4"/>
  <c r="J136" i="4"/>
  <c r="I136" i="4"/>
  <c r="C136" i="4"/>
  <c r="B136" i="4"/>
  <c r="J135" i="4"/>
  <c r="I135" i="4"/>
  <c r="C135" i="4"/>
  <c r="B135" i="4"/>
  <c r="J134" i="4"/>
  <c r="I134" i="4"/>
  <c r="C134" i="4"/>
  <c r="B134" i="4"/>
  <c r="J133" i="4"/>
  <c r="I133" i="4"/>
  <c r="C133" i="4"/>
  <c r="B133" i="4"/>
  <c r="J132" i="4"/>
  <c r="I132" i="4"/>
  <c r="C132" i="4"/>
  <c r="B132" i="4"/>
  <c r="J131" i="4"/>
  <c r="I131" i="4"/>
  <c r="C131" i="4"/>
  <c r="B131" i="4"/>
  <c r="J130" i="4"/>
  <c r="I130" i="4"/>
  <c r="C130" i="4"/>
  <c r="B130" i="4"/>
  <c r="J129" i="4"/>
  <c r="I129" i="4"/>
  <c r="C129" i="4"/>
  <c r="B129" i="4"/>
  <c r="J128" i="4"/>
  <c r="I128" i="4"/>
  <c r="C128" i="4"/>
  <c r="B128" i="4"/>
  <c r="J127" i="4"/>
  <c r="I127" i="4"/>
  <c r="C127" i="4"/>
  <c r="B127" i="4"/>
  <c r="J126" i="4"/>
  <c r="I126" i="4"/>
  <c r="C126" i="4"/>
  <c r="B126" i="4"/>
  <c r="J125" i="4"/>
  <c r="I125" i="4"/>
  <c r="C125" i="4"/>
  <c r="B125" i="4"/>
  <c r="J124" i="4"/>
  <c r="I124" i="4"/>
  <c r="C124" i="4"/>
  <c r="B124" i="4"/>
  <c r="J123" i="4"/>
  <c r="I123" i="4"/>
  <c r="C123" i="4"/>
  <c r="B123" i="4"/>
  <c r="J122" i="4"/>
  <c r="I122" i="4"/>
  <c r="C122" i="4"/>
  <c r="B122" i="4"/>
  <c r="J121" i="4"/>
  <c r="I121" i="4"/>
  <c r="C121" i="4"/>
  <c r="B121" i="4"/>
  <c r="J120" i="4"/>
  <c r="I120" i="4"/>
  <c r="C120" i="4"/>
  <c r="B120" i="4"/>
  <c r="J119" i="4"/>
  <c r="I119" i="4"/>
  <c r="C119" i="4"/>
  <c r="B119" i="4"/>
  <c r="J118" i="4"/>
  <c r="I118" i="4"/>
  <c r="C118" i="4"/>
  <c r="B118" i="4"/>
  <c r="J117" i="4"/>
  <c r="I117" i="4"/>
  <c r="C117" i="4"/>
  <c r="B117" i="4"/>
  <c r="J116" i="4"/>
  <c r="I116" i="4"/>
  <c r="C116" i="4"/>
  <c r="B116" i="4"/>
  <c r="J115" i="4"/>
  <c r="I115" i="4"/>
  <c r="C115" i="4"/>
  <c r="B115" i="4"/>
  <c r="J114" i="4"/>
  <c r="I114" i="4"/>
  <c r="C114" i="4"/>
  <c r="B114" i="4"/>
  <c r="J113" i="4"/>
  <c r="I113" i="4"/>
  <c r="C113" i="4"/>
  <c r="B113" i="4"/>
  <c r="J112" i="4"/>
  <c r="I112" i="4"/>
  <c r="C112" i="4"/>
  <c r="B112" i="4"/>
  <c r="J111" i="4"/>
  <c r="I111" i="4"/>
  <c r="C111" i="4"/>
  <c r="B111" i="4"/>
  <c r="J110" i="4"/>
  <c r="I110" i="4"/>
  <c r="C110" i="4"/>
  <c r="B110" i="4"/>
  <c r="J109" i="4"/>
  <c r="I109" i="4"/>
  <c r="C109" i="4"/>
  <c r="B109" i="4"/>
  <c r="J108" i="4"/>
  <c r="I108" i="4"/>
  <c r="C108" i="4"/>
  <c r="B108" i="4"/>
  <c r="J107" i="4"/>
  <c r="I107" i="4"/>
  <c r="C107" i="4"/>
  <c r="B107" i="4"/>
  <c r="J106" i="4"/>
  <c r="I106" i="4"/>
  <c r="C106" i="4"/>
  <c r="B106" i="4"/>
  <c r="J105" i="4"/>
  <c r="I105" i="4"/>
  <c r="C105" i="4"/>
  <c r="B105" i="4"/>
  <c r="J104" i="4"/>
  <c r="I104" i="4"/>
  <c r="C104" i="4"/>
  <c r="B104" i="4"/>
  <c r="J103" i="4"/>
  <c r="I103" i="4"/>
  <c r="C103" i="4"/>
  <c r="B103" i="4"/>
  <c r="J102" i="4"/>
  <c r="I102" i="4"/>
  <c r="C102" i="4"/>
  <c r="B102" i="4"/>
  <c r="J101" i="4"/>
  <c r="I101" i="4"/>
  <c r="C101" i="4"/>
  <c r="B101" i="4"/>
  <c r="J100" i="4"/>
  <c r="I100" i="4"/>
  <c r="C100" i="4"/>
  <c r="B100" i="4"/>
  <c r="J99" i="4"/>
  <c r="I99" i="4"/>
  <c r="C99" i="4"/>
  <c r="B99" i="4"/>
  <c r="J98" i="4"/>
  <c r="I98" i="4"/>
  <c r="C98" i="4"/>
  <c r="B98" i="4"/>
  <c r="J97" i="4"/>
  <c r="I97" i="4"/>
  <c r="C97" i="4"/>
  <c r="B97" i="4"/>
  <c r="J96" i="4"/>
  <c r="I96" i="4"/>
  <c r="C96" i="4"/>
  <c r="B96" i="4"/>
  <c r="J95" i="4"/>
  <c r="I95" i="4"/>
  <c r="C95" i="4"/>
  <c r="B95" i="4"/>
  <c r="J94" i="4"/>
  <c r="I94" i="4"/>
  <c r="C94" i="4"/>
  <c r="B94" i="4"/>
  <c r="J93" i="4"/>
  <c r="I93" i="4"/>
  <c r="C93" i="4"/>
  <c r="B93" i="4"/>
  <c r="J92" i="4"/>
  <c r="I92" i="4"/>
  <c r="C92" i="4"/>
  <c r="B92" i="4"/>
  <c r="J91" i="4"/>
  <c r="I91" i="4"/>
  <c r="C91" i="4"/>
  <c r="B91" i="4"/>
  <c r="J90" i="4"/>
  <c r="I90" i="4"/>
  <c r="C90" i="4"/>
  <c r="B90" i="4"/>
  <c r="J89" i="4"/>
  <c r="I89" i="4"/>
  <c r="C89" i="4"/>
  <c r="B89" i="4"/>
  <c r="J88" i="4"/>
  <c r="I88" i="4"/>
  <c r="C88" i="4"/>
  <c r="B88" i="4"/>
  <c r="J87" i="4"/>
  <c r="I87" i="4"/>
  <c r="C87" i="4"/>
  <c r="B87" i="4"/>
  <c r="J86" i="4"/>
  <c r="I86" i="4"/>
  <c r="C86" i="4"/>
  <c r="B86" i="4"/>
  <c r="J85" i="4"/>
  <c r="I85" i="4"/>
  <c r="C85" i="4"/>
  <c r="B85" i="4"/>
  <c r="J84" i="4"/>
  <c r="I84" i="4"/>
  <c r="C84" i="4"/>
  <c r="B84" i="4"/>
  <c r="J83" i="4"/>
  <c r="I83" i="4"/>
  <c r="C83" i="4"/>
  <c r="B83" i="4"/>
  <c r="J82" i="4"/>
  <c r="I82" i="4"/>
  <c r="C82" i="4"/>
  <c r="B82" i="4"/>
  <c r="J81" i="4"/>
  <c r="I81" i="4"/>
  <c r="C81" i="4"/>
  <c r="B81" i="4"/>
  <c r="J80" i="4"/>
  <c r="I80" i="4"/>
  <c r="C80" i="4"/>
  <c r="B80" i="4"/>
  <c r="J79" i="4"/>
  <c r="I79" i="4"/>
  <c r="C79" i="4"/>
  <c r="B79" i="4"/>
  <c r="J78" i="4"/>
  <c r="I78" i="4"/>
  <c r="C78" i="4"/>
  <c r="B78" i="4"/>
  <c r="J77" i="4"/>
  <c r="I77" i="4"/>
  <c r="C77" i="4"/>
  <c r="B77" i="4"/>
  <c r="J76" i="4"/>
  <c r="I76" i="4"/>
  <c r="C76" i="4"/>
  <c r="B76" i="4"/>
  <c r="J75" i="4"/>
  <c r="I75" i="4"/>
  <c r="C75" i="4"/>
  <c r="B75" i="4"/>
  <c r="J74" i="4"/>
  <c r="I74" i="4"/>
  <c r="C74" i="4"/>
  <c r="B74" i="4"/>
  <c r="J73" i="4"/>
  <c r="I73" i="4"/>
  <c r="C73" i="4"/>
  <c r="B73" i="4"/>
  <c r="J72" i="4"/>
  <c r="I72" i="4"/>
  <c r="C72" i="4"/>
  <c r="B72" i="4"/>
  <c r="J71" i="4"/>
  <c r="I71" i="4"/>
  <c r="C71" i="4"/>
  <c r="B71" i="4"/>
  <c r="J70" i="4"/>
  <c r="I70" i="4"/>
  <c r="C70" i="4"/>
  <c r="B70" i="4"/>
  <c r="J69" i="4"/>
  <c r="I69" i="4"/>
  <c r="C69" i="4"/>
  <c r="B69" i="4"/>
  <c r="J68" i="4"/>
  <c r="I68" i="4"/>
  <c r="C68" i="4"/>
  <c r="B68" i="4"/>
  <c r="J67" i="4"/>
  <c r="I67" i="4"/>
  <c r="C67" i="4"/>
  <c r="B67" i="4"/>
  <c r="J66" i="4"/>
  <c r="I66" i="4"/>
  <c r="C66" i="4"/>
  <c r="B66" i="4"/>
  <c r="J65" i="4"/>
  <c r="I65" i="4"/>
  <c r="C65" i="4"/>
  <c r="B65" i="4"/>
  <c r="J64" i="4"/>
  <c r="I64" i="4"/>
  <c r="C64" i="4"/>
  <c r="B64" i="4"/>
  <c r="J63" i="4"/>
  <c r="I63" i="4"/>
  <c r="C63" i="4"/>
  <c r="B63" i="4"/>
  <c r="J62" i="4"/>
  <c r="I62" i="4"/>
  <c r="C62" i="4"/>
  <c r="B62" i="4"/>
  <c r="J61" i="4"/>
  <c r="I61" i="4"/>
  <c r="C61" i="4"/>
  <c r="B61" i="4"/>
  <c r="J60" i="4"/>
  <c r="I60" i="4"/>
  <c r="C60" i="4"/>
  <c r="B60" i="4"/>
  <c r="J59" i="4"/>
  <c r="I59" i="4"/>
  <c r="C59" i="4"/>
  <c r="B59" i="4"/>
  <c r="J58" i="4"/>
  <c r="I58" i="4"/>
  <c r="C58" i="4"/>
  <c r="B58" i="4"/>
  <c r="J57" i="4"/>
  <c r="I57" i="4"/>
  <c r="C57" i="4"/>
  <c r="B57" i="4"/>
  <c r="J56" i="4"/>
  <c r="I56" i="4"/>
  <c r="C56" i="4"/>
  <c r="B56" i="4"/>
  <c r="J55" i="4"/>
  <c r="I55" i="4"/>
  <c r="C55" i="4"/>
  <c r="B55" i="4"/>
  <c r="J54" i="4"/>
  <c r="I54" i="4"/>
  <c r="C54" i="4"/>
  <c r="B54" i="4"/>
  <c r="J53" i="4"/>
  <c r="I53" i="4"/>
  <c r="C53" i="4"/>
  <c r="B53" i="4"/>
  <c r="J52" i="4"/>
  <c r="I52" i="4"/>
  <c r="C52" i="4"/>
  <c r="B52" i="4"/>
  <c r="J51" i="4"/>
  <c r="I51" i="4"/>
  <c r="C51" i="4"/>
  <c r="B51" i="4"/>
  <c r="J50" i="4"/>
  <c r="I50" i="4"/>
  <c r="C50" i="4"/>
  <c r="B50" i="4"/>
  <c r="J49" i="4"/>
  <c r="I49" i="4"/>
  <c r="C49" i="4"/>
  <c r="B49" i="4"/>
  <c r="J48" i="4"/>
  <c r="I48" i="4"/>
  <c r="C48" i="4"/>
  <c r="B48" i="4"/>
  <c r="J47" i="4"/>
  <c r="I47" i="4"/>
  <c r="C47" i="4"/>
  <c r="B47" i="4"/>
  <c r="J46" i="4"/>
  <c r="I46" i="4"/>
  <c r="C46" i="4"/>
  <c r="B46" i="4"/>
  <c r="J45" i="4"/>
  <c r="I45" i="4"/>
  <c r="C45" i="4"/>
  <c r="B45" i="4"/>
  <c r="J44" i="4"/>
  <c r="I44" i="4"/>
  <c r="C44" i="4"/>
  <c r="B44" i="4"/>
  <c r="J43" i="4"/>
  <c r="I43" i="4"/>
  <c r="C43" i="4"/>
  <c r="B43" i="4"/>
  <c r="J42" i="4"/>
  <c r="I42" i="4"/>
  <c r="C42" i="4"/>
  <c r="B42" i="4"/>
  <c r="J41" i="4"/>
  <c r="I41" i="4"/>
  <c r="C41" i="4"/>
  <c r="B41" i="4"/>
  <c r="J40" i="4"/>
  <c r="I40" i="4"/>
  <c r="C40" i="4"/>
  <c r="B40" i="4"/>
  <c r="J39" i="4"/>
  <c r="I39" i="4"/>
  <c r="C39" i="4"/>
  <c r="B39" i="4"/>
  <c r="J38" i="4"/>
  <c r="I38" i="4"/>
  <c r="C38" i="4"/>
  <c r="B38" i="4"/>
  <c r="J37" i="4"/>
  <c r="I37" i="4"/>
  <c r="C37" i="4"/>
  <c r="B37" i="4"/>
  <c r="J36" i="4"/>
  <c r="I36" i="4"/>
  <c r="C36" i="4"/>
  <c r="B36" i="4"/>
  <c r="J35" i="4"/>
  <c r="I35" i="4"/>
  <c r="C35" i="4"/>
  <c r="B35" i="4"/>
  <c r="J34" i="4"/>
  <c r="I34" i="4"/>
  <c r="C34" i="4"/>
  <c r="B34" i="4"/>
  <c r="J33" i="4"/>
  <c r="I33" i="4"/>
  <c r="C33" i="4"/>
  <c r="B33" i="4"/>
  <c r="J32" i="4"/>
  <c r="I32" i="4"/>
  <c r="C32" i="4"/>
  <c r="B32" i="4"/>
  <c r="J31" i="4"/>
  <c r="I31" i="4"/>
  <c r="C31" i="4"/>
  <c r="B31" i="4"/>
  <c r="J30" i="4"/>
  <c r="I30" i="4"/>
  <c r="C30" i="4"/>
  <c r="B30" i="4"/>
  <c r="J29" i="4"/>
  <c r="I29" i="4"/>
  <c r="C29" i="4"/>
  <c r="B29" i="4"/>
  <c r="J28" i="4"/>
  <c r="I28" i="4"/>
  <c r="C28" i="4"/>
  <c r="B28" i="4"/>
  <c r="J27" i="4"/>
  <c r="I27" i="4"/>
  <c r="C27" i="4"/>
  <c r="B27" i="4"/>
  <c r="J26" i="4"/>
  <c r="I26" i="4"/>
  <c r="C26" i="4"/>
  <c r="B26" i="4"/>
  <c r="J25" i="4"/>
  <c r="I25" i="4"/>
  <c r="C25" i="4"/>
  <c r="B25" i="4"/>
  <c r="J24" i="4"/>
  <c r="I24" i="4"/>
  <c r="C24" i="4"/>
  <c r="B24" i="4"/>
  <c r="J23" i="4"/>
  <c r="I23" i="4"/>
  <c r="C23" i="4"/>
  <c r="B23" i="4"/>
  <c r="J22" i="4"/>
  <c r="I22" i="4"/>
  <c r="C22" i="4"/>
  <c r="B22" i="4"/>
  <c r="J21" i="4"/>
  <c r="I21" i="4"/>
  <c r="C21" i="4"/>
  <c r="B21" i="4"/>
  <c r="J20" i="4"/>
  <c r="I20" i="4"/>
  <c r="C20" i="4"/>
  <c r="B20" i="4"/>
  <c r="J19" i="4"/>
  <c r="I19" i="4"/>
  <c r="C19" i="4"/>
  <c r="B19" i="4"/>
  <c r="J18" i="4"/>
  <c r="I18" i="4"/>
  <c r="C18" i="4"/>
  <c r="B18" i="4"/>
  <c r="J17" i="4"/>
  <c r="I17" i="4"/>
  <c r="C17" i="4"/>
  <c r="B17" i="4"/>
  <c r="J16" i="4"/>
  <c r="I16" i="4"/>
  <c r="C16" i="4"/>
  <c r="B16" i="4"/>
  <c r="J15" i="4"/>
  <c r="I15" i="4"/>
  <c r="C15" i="4"/>
  <c r="B15" i="4"/>
  <c r="J14" i="4"/>
  <c r="I14" i="4"/>
  <c r="C14" i="4"/>
  <c r="B14" i="4"/>
  <c r="J13" i="4"/>
  <c r="I13" i="4"/>
  <c r="C13" i="4"/>
  <c r="B13" i="4"/>
  <c r="J12" i="4"/>
  <c r="I12" i="4"/>
  <c r="C12" i="4"/>
  <c r="B12" i="4"/>
  <c r="J11" i="4"/>
  <c r="I11" i="4"/>
  <c r="C11" i="4"/>
  <c r="B11" i="4"/>
  <c r="J10" i="4"/>
  <c r="I10" i="4"/>
  <c r="C10" i="4"/>
  <c r="B10" i="4"/>
  <c r="J9" i="4"/>
  <c r="I9" i="4"/>
  <c r="C9" i="4"/>
  <c r="B9" i="4"/>
  <c r="J8" i="4"/>
  <c r="I8" i="4"/>
  <c r="C8" i="4"/>
  <c r="B8" i="4"/>
  <c r="J7" i="4"/>
  <c r="I7" i="4"/>
  <c r="C7" i="4"/>
  <c r="B7" i="4"/>
  <c r="J6" i="4"/>
  <c r="C6" i="4"/>
  <c r="B6" i="4"/>
  <c r="I205" i="3"/>
  <c r="H205" i="3"/>
  <c r="G205" i="3"/>
  <c r="K204" i="3"/>
  <c r="J204" i="3"/>
  <c r="C204" i="3"/>
  <c r="B204" i="3"/>
  <c r="K203" i="3"/>
  <c r="J203" i="3"/>
  <c r="C203" i="3"/>
  <c r="B203" i="3"/>
  <c r="K202" i="3"/>
  <c r="J202" i="3"/>
  <c r="C202" i="3"/>
  <c r="B202" i="3"/>
  <c r="K201" i="3"/>
  <c r="J201" i="3"/>
  <c r="C201" i="3"/>
  <c r="B201" i="3"/>
  <c r="K200" i="3"/>
  <c r="J200" i="3"/>
  <c r="C200" i="3"/>
  <c r="B200" i="3"/>
  <c r="K199" i="3"/>
  <c r="J199" i="3"/>
  <c r="C199" i="3"/>
  <c r="B199" i="3"/>
  <c r="K198" i="3"/>
  <c r="J198" i="3"/>
  <c r="C198" i="3"/>
  <c r="B198" i="3"/>
  <c r="K197" i="3"/>
  <c r="J197" i="3"/>
  <c r="C197" i="3"/>
  <c r="B197" i="3"/>
  <c r="K196" i="3"/>
  <c r="J196" i="3"/>
  <c r="C196" i="3"/>
  <c r="B196" i="3"/>
  <c r="K195" i="3"/>
  <c r="J195" i="3"/>
  <c r="C195" i="3"/>
  <c r="B195" i="3"/>
  <c r="K194" i="3"/>
  <c r="J194" i="3"/>
  <c r="C194" i="3"/>
  <c r="B194" i="3"/>
  <c r="K193" i="3"/>
  <c r="J193" i="3"/>
  <c r="C193" i="3"/>
  <c r="B193" i="3"/>
  <c r="K192" i="3"/>
  <c r="J192" i="3"/>
  <c r="C192" i="3"/>
  <c r="B192" i="3"/>
  <c r="K191" i="3"/>
  <c r="J191" i="3"/>
  <c r="C191" i="3"/>
  <c r="B191" i="3"/>
  <c r="K190" i="3"/>
  <c r="J190" i="3"/>
  <c r="C190" i="3"/>
  <c r="B190" i="3"/>
  <c r="K189" i="3"/>
  <c r="J189" i="3"/>
  <c r="C189" i="3"/>
  <c r="B189" i="3"/>
  <c r="K188" i="3"/>
  <c r="J188" i="3"/>
  <c r="C188" i="3"/>
  <c r="B188" i="3"/>
  <c r="K187" i="3"/>
  <c r="J187" i="3"/>
  <c r="C187" i="3"/>
  <c r="B187" i="3"/>
  <c r="K186" i="3"/>
  <c r="J186" i="3"/>
  <c r="C186" i="3"/>
  <c r="B186" i="3"/>
  <c r="K185" i="3"/>
  <c r="J185" i="3"/>
  <c r="C185" i="3"/>
  <c r="B185" i="3"/>
  <c r="K184" i="3"/>
  <c r="J184" i="3"/>
  <c r="C184" i="3"/>
  <c r="B184" i="3"/>
  <c r="K183" i="3"/>
  <c r="J183" i="3"/>
  <c r="C183" i="3"/>
  <c r="B183" i="3"/>
  <c r="K182" i="3"/>
  <c r="J182" i="3"/>
  <c r="C182" i="3"/>
  <c r="B182" i="3"/>
  <c r="K181" i="3"/>
  <c r="J181" i="3"/>
  <c r="C181" i="3"/>
  <c r="B181" i="3"/>
  <c r="K180" i="3"/>
  <c r="J180" i="3"/>
  <c r="C180" i="3"/>
  <c r="B180" i="3"/>
  <c r="K179" i="3"/>
  <c r="J179" i="3"/>
  <c r="C179" i="3"/>
  <c r="B179" i="3"/>
  <c r="K178" i="3"/>
  <c r="J178" i="3"/>
  <c r="C178" i="3"/>
  <c r="B178" i="3"/>
  <c r="K177" i="3"/>
  <c r="J177" i="3"/>
  <c r="C177" i="3"/>
  <c r="B177" i="3"/>
  <c r="K176" i="3"/>
  <c r="J176" i="3"/>
  <c r="C176" i="3"/>
  <c r="B176" i="3"/>
  <c r="K175" i="3"/>
  <c r="J175" i="3"/>
  <c r="C175" i="3"/>
  <c r="B175" i="3"/>
  <c r="K174" i="3"/>
  <c r="J174" i="3"/>
  <c r="C174" i="3"/>
  <c r="B174" i="3"/>
  <c r="K173" i="3"/>
  <c r="J173" i="3"/>
  <c r="C173" i="3"/>
  <c r="B173" i="3"/>
  <c r="K172" i="3"/>
  <c r="J172" i="3"/>
  <c r="C172" i="3"/>
  <c r="B172" i="3"/>
  <c r="K171" i="3"/>
  <c r="J171" i="3"/>
  <c r="C171" i="3"/>
  <c r="B171" i="3"/>
  <c r="K170" i="3"/>
  <c r="J170" i="3"/>
  <c r="C170" i="3"/>
  <c r="B170" i="3"/>
  <c r="K169" i="3"/>
  <c r="J169" i="3"/>
  <c r="C169" i="3"/>
  <c r="B169" i="3"/>
  <c r="K168" i="3"/>
  <c r="J168" i="3"/>
  <c r="C168" i="3"/>
  <c r="B168" i="3"/>
  <c r="K167" i="3"/>
  <c r="J167" i="3"/>
  <c r="C167" i="3"/>
  <c r="B167" i="3"/>
  <c r="K166" i="3"/>
  <c r="J166" i="3"/>
  <c r="C166" i="3"/>
  <c r="B166" i="3"/>
  <c r="K165" i="3"/>
  <c r="J165" i="3"/>
  <c r="C165" i="3"/>
  <c r="B165" i="3"/>
  <c r="K164" i="3"/>
  <c r="J164" i="3"/>
  <c r="C164" i="3"/>
  <c r="B164" i="3"/>
  <c r="K163" i="3"/>
  <c r="J163" i="3"/>
  <c r="C163" i="3"/>
  <c r="B163" i="3"/>
  <c r="K162" i="3"/>
  <c r="J162" i="3"/>
  <c r="C162" i="3"/>
  <c r="B162" i="3"/>
  <c r="K161" i="3"/>
  <c r="J161" i="3"/>
  <c r="C161" i="3"/>
  <c r="B161" i="3"/>
  <c r="K160" i="3"/>
  <c r="J160" i="3"/>
  <c r="C160" i="3"/>
  <c r="B160" i="3"/>
  <c r="K159" i="3"/>
  <c r="J159" i="3"/>
  <c r="C159" i="3"/>
  <c r="B159" i="3"/>
  <c r="K158" i="3"/>
  <c r="J158" i="3"/>
  <c r="C158" i="3"/>
  <c r="B158" i="3"/>
  <c r="K157" i="3"/>
  <c r="J157" i="3"/>
  <c r="C157" i="3"/>
  <c r="B157" i="3"/>
  <c r="K156" i="3"/>
  <c r="J156" i="3"/>
  <c r="C156" i="3"/>
  <c r="B156" i="3"/>
  <c r="K155" i="3"/>
  <c r="J155" i="3"/>
  <c r="C155" i="3"/>
  <c r="B155" i="3"/>
  <c r="K154" i="3"/>
  <c r="J154" i="3"/>
  <c r="C154" i="3"/>
  <c r="B154" i="3"/>
  <c r="K153" i="3"/>
  <c r="J153" i="3"/>
  <c r="C153" i="3"/>
  <c r="B153" i="3"/>
  <c r="K152" i="3"/>
  <c r="J152" i="3"/>
  <c r="C152" i="3"/>
  <c r="B152" i="3"/>
  <c r="K151" i="3"/>
  <c r="J151" i="3"/>
  <c r="C151" i="3"/>
  <c r="B151" i="3"/>
  <c r="K150" i="3"/>
  <c r="J150" i="3"/>
  <c r="C150" i="3"/>
  <c r="B150" i="3"/>
  <c r="K149" i="3"/>
  <c r="J149" i="3"/>
  <c r="C149" i="3"/>
  <c r="B149" i="3"/>
  <c r="K148" i="3"/>
  <c r="J148" i="3"/>
  <c r="C148" i="3"/>
  <c r="B148" i="3"/>
  <c r="K147" i="3"/>
  <c r="J147" i="3"/>
  <c r="C147" i="3"/>
  <c r="B147" i="3"/>
  <c r="K146" i="3"/>
  <c r="J146" i="3"/>
  <c r="C146" i="3"/>
  <c r="B146" i="3"/>
  <c r="K145" i="3"/>
  <c r="J145" i="3"/>
  <c r="C145" i="3"/>
  <c r="B145" i="3"/>
  <c r="K144" i="3"/>
  <c r="J144" i="3"/>
  <c r="C144" i="3"/>
  <c r="B144" i="3"/>
  <c r="K143" i="3"/>
  <c r="J143" i="3"/>
  <c r="C143" i="3"/>
  <c r="B143" i="3"/>
  <c r="K142" i="3"/>
  <c r="J142" i="3"/>
  <c r="C142" i="3"/>
  <c r="B142" i="3"/>
  <c r="K141" i="3"/>
  <c r="J141" i="3"/>
  <c r="C141" i="3"/>
  <c r="B141" i="3"/>
  <c r="K140" i="3"/>
  <c r="J140" i="3"/>
  <c r="C140" i="3"/>
  <c r="B140" i="3"/>
  <c r="K139" i="3"/>
  <c r="J139" i="3"/>
  <c r="C139" i="3"/>
  <c r="B139" i="3"/>
  <c r="K138" i="3"/>
  <c r="J138" i="3"/>
  <c r="C138" i="3"/>
  <c r="B138" i="3"/>
  <c r="K137" i="3"/>
  <c r="J137" i="3"/>
  <c r="C137" i="3"/>
  <c r="B137" i="3"/>
  <c r="K136" i="3"/>
  <c r="J136" i="3"/>
  <c r="C136" i="3"/>
  <c r="B136" i="3"/>
  <c r="K135" i="3"/>
  <c r="J135" i="3"/>
  <c r="C135" i="3"/>
  <c r="B135" i="3"/>
  <c r="K134" i="3"/>
  <c r="J134" i="3"/>
  <c r="C134" i="3"/>
  <c r="B134" i="3"/>
  <c r="K133" i="3"/>
  <c r="J133" i="3"/>
  <c r="C133" i="3"/>
  <c r="B133" i="3"/>
  <c r="K132" i="3"/>
  <c r="J132" i="3"/>
  <c r="C132" i="3"/>
  <c r="B132" i="3"/>
  <c r="K131" i="3"/>
  <c r="J131" i="3"/>
  <c r="C131" i="3"/>
  <c r="B131" i="3"/>
  <c r="K130" i="3"/>
  <c r="J130" i="3"/>
  <c r="C130" i="3"/>
  <c r="B130" i="3"/>
  <c r="K129" i="3"/>
  <c r="J129" i="3"/>
  <c r="C129" i="3"/>
  <c r="B129" i="3"/>
  <c r="K128" i="3"/>
  <c r="J128" i="3"/>
  <c r="C128" i="3"/>
  <c r="B128" i="3"/>
  <c r="K127" i="3"/>
  <c r="J127" i="3"/>
  <c r="C127" i="3"/>
  <c r="B127" i="3"/>
  <c r="K126" i="3"/>
  <c r="J126" i="3"/>
  <c r="C126" i="3"/>
  <c r="B126" i="3"/>
  <c r="K125" i="3"/>
  <c r="J125" i="3"/>
  <c r="C125" i="3"/>
  <c r="B125" i="3"/>
  <c r="K124" i="3"/>
  <c r="J124" i="3"/>
  <c r="C124" i="3"/>
  <c r="B124" i="3"/>
  <c r="K123" i="3"/>
  <c r="J123" i="3"/>
  <c r="C123" i="3"/>
  <c r="B123" i="3"/>
  <c r="K122" i="3"/>
  <c r="J122" i="3"/>
  <c r="C122" i="3"/>
  <c r="B122" i="3"/>
  <c r="K121" i="3"/>
  <c r="J121" i="3"/>
  <c r="C121" i="3"/>
  <c r="B121" i="3"/>
  <c r="K120" i="3"/>
  <c r="J120" i="3"/>
  <c r="C120" i="3"/>
  <c r="B120" i="3"/>
  <c r="K119" i="3"/>
  <c r="J119" i="3"/>
  <c r="C119" i="3"/>
  <c r="B119" i="3"/>
  <c r="K118" i="3"/>
  <c r="J118" i="3"/>
  <c r="C118" i="3"/>
  <c r="B118" i="3"/>
  <c r="K117" i="3"/>
  <c r="J117" i="3"/>
  <c r="C117" i="3"/>
  <c r="B117" i="3"/>
  <c r="K116" i="3"/>
  <c r="J116" i="3"/>
  <c r="C116" i="3"/>
  <c r="B116" i="3"/>
  <c r="K115" i="3"/>
  <c r="J115" i="3"/>
  <c r="C115" i="3"/>
  <c r="B115" i="3"/>
  <c r="K114" i="3"/>
  <c r="J114" i="3"/>
  <c r="C114" i="3"/>
  <c r="B114" i="3"/>
  <c r="K113" i="3"/>
  <c r="J113" i="3"/>
  <c r="C113" i="3"/>
  <c r="B113" i="3"/>
  <c r="K112" i="3"/>
  <c r="J112" i="3"/>
  <c r="C112" i="3"/>
  <c r="B112" i="3"/>
  <c r="K111" i="3"/>
  <c r="J111" i="3"/>
  <c r="C111" i="3"/>
  <c r="B111" i="3"/>
  <c r="K110" i="3"/>
  <c r="J110" i="3"/>
  <c r="C110" i="3"/>
  <c r="B110" i="3"/>
  <c r="K109" i="3"/>
  <c r="J109" i="3"/>
  <c r="C109" i="3"/>
  <c r="B109" i="3"/>
  <c r="K108" i="3"/>
  <c r="J108" i="3"/>
  <c r="C108" i="3"/>
  <c r="B108" i="3"/>
  <c r="K107" i="3"/>
  <c r="J107" i="3"/>
  <c r="C107" i="3"/>
  <c r="B107" i="3"/>
  <c r="K106" i="3"/>
  <c r="J106" i="3"/>
  <c r="C106" i="3"/>
  <c r="B106" i="3"/>
  <c r="K105" i="3"/>
  <c r="J105" i="3"/>
  <c r="C105" i="3"/>
  <c r="B105" i="3"/>
  <c r="K104" i="3"/>
  <c r="J104" i="3"/>
  <c r="C104" i="3"/>
  <c r="B104" i="3"/>
  <c r="K103" i="3"/>
  <c r="J103" i="3"/>
  <c r="C103" i="3"/>
  <c r="B103" i="3"/>
  <c r="K102" i="3"/>
  <c r="J102" i="3"/>
  <c r="C102" i="3"/>
  <c r="B102" i="3"/>
  <c r="K101" i="3"/>
  <c r="J101" i="3"/>
  <c r="C101" i="3"/>
  <c r="B101" i="3"/>
  <c r="K100" i="3"/>
  <c r="J100" i="3"/>
  <c r="C100" i="3"/>
  <c r="B100" i="3"/>
  <c r="K99" i="3"/>
  <c r="J99" i="3"/>
  <c r="C99" i="3"/>
  <c r="B99" i="3"/>
  <c r="K98" i="3"/>
  <c r="J98" i="3"/>
  <c r="C98" i="3"/>
  <c r="B98" i="3"/>
  <c r="K97" i="3"/>
  <c r="J97" i="3"/>
  <c r="C97" i="3"/>
  <c r="B97" i="3"/>
  <c r="K96" i="3"/>
  <c r="J96" i="3"/>
  <c r="C96" i="3"/>
  <c r="B96" i="3"/>
  <c r="K95" i="3"/>
  <c r="J95" i="3"/>
  <c r="C95" i="3"/>
  <c r="B95" i="3"/>
  <c r="K94" i="3"/>
  <c r="J94" i="3"/>
  <c r="C94" i="3"/>
  <c r="B94" i="3"/>
  <c r="K93" i="3"/>
  <c r="J93" i="3"/>
  <c r="C93" i="3"/>
  <c r="B93" i="3"/>
  <c r="K92" i="3"/>
  <c r="J92" i="3"/>
  <c r="C92" i="3"/>
  <c r="B92" i="3"/>
  <c r="K91" i="3"/>
  <c r="J91" i="3"/>
  <c r="C91" i="3"/>
  <c r="B91" i="3"/>
  <c r="K90" i="3"/>
  <c r="J90" i="3"/>
  <c r="C90" i="3"/>
  <c r="B90" i="3"/>
  <c r="K89" i="3"/>
  <c r="J89" i="3"/>
  <c r="C89" i="3"/>
  <c r="B89" i="3"/>
  <c r="K88" i="3"/>
  <c r="J88" i="3"/>
  <c r="C88" i="3"/>
  <c r="B88" i="3"/>
  <c r="K87" i="3"/>
  <c r="J87" i="3"/>
  <c r="C87" i="3"/>
  <c r="B87" i="3"/>
  <c r="K86" i="3"/>
  <c r="J86" i="3"/>
  <c r="C86" i="3"/>
  <c r="B86" i="3"/>
  <c r="K85" i="3"/>
  <c r="J85" i="3"/>
  <c r="C85" i="3"/>
  <c r="B85" i="3"/>
  <c r="K84" i="3"/>
  <c r="J84" i="3"/>
  <c r="C84" i="3"/>
  <c r="B84" i="3"/>
  <c r="K83" i="3"/>
  <c r="J83" i="3"/>
  <c r="C83" i="3"/>
  <c r="B83" i="3"/>
  <c r="K82" i="3"/>
  <c r="J82" i="3"/>
  <c r="C82" i="3"/>
  <c r="B82" i="3"/>
  <c r="K81" i="3"/>
  <c r="J81" i="3"/>
  <c r="C81" i="3"/>
  <c r="B81" i="3"/>
  <c r="K80" i="3"/>
  <c r="J80" i="3"/>
  <c r="C80" i="3"/>
  <c r="B80" i="3"/>
  <c r="K79" i="3"/>
  <c r="J79" i="3"/>
  <c r="C79" i="3"/>
  <c r="B79" i="3"/>
  <c r="K78" i="3"/>
  <c r="J78" i="3"/>
  <c r="C78" i="3"/>
  <c r="B78" i="3"/>
  <c r="K77" i="3"/>
  <c r="J77" i="3"/>
  <c r="C77" i="3"/>
  <c r="B77" i="3"/>
  <c r="K76" i="3"/>
  <c r="J76" i="3"/>
  <c r="C76" i="3"/>
  <c r="B76" i="3"/>
  <c r="K75" i="3"/>
  <c r="J75" i="3"/>
  <c r="C75" i="3"/>
  <c r="B75" i="3"/>
  <c r="K74" i="3"/>
  <c r="J74" i="3"/>
  <c r="C74" i="3"/>
  <c r="B74" i="3"/>
  <c r="K73" i="3"/>
  <c r="J73" i="3"/>
  <c r="C73" i="3"/>
  <c r="B73" i="3"/>
  <c r="K72" i="3"/>
  <c r="J72" i="3"/>
  <c r="C72" i="3"/>
  <c r="B72" i="3"/>
  <c r="K71" i="3"/>
  <c r="J71" i="3"/>
  <c r="C71" i="3"/>
  <c r="B71" i="3"/>
  <c r="K70" i="3"/>
  <c r="J70" i="3"/>
  <c r="C70" i="3"/>
  <c r="B70" i="3"/>
  <c r="K69" i="3"/>
  <c r="J69" i="3"/>
  <c r="C69" i="3"/>
  <c r="B69" i="3"/>
  <c r="K68" i="3"/>
  <c r="J68" i="3"/>
  <c r="C68" i="3"/>
  <c r="B68" i="3"/>
  <c r="K67" i="3"/>
  <c r="J67" i="3"/>
  <c r="C67" i="3"/>
  <c r="B67" i="3"/>
  <c r="K66" i="3"/>
  <c r="J66" i="3"/>
  <c r="C66" i="3"/>
  <c r="B66" i="3"/>
  <c r="K65" i="3"/>
  <c r="J65" i="3"/>
  <c r="C65" i="3"/>
  <c r="B65" i="3"/>
  <c r="K64" i="3"/>
  <c r="J64" i="3"/>
  <c r="C64" i="3"/>
  <c r="B64" i="3"/>
  <c r="K63" i="3"/>
  <c r="J63" i="3"/>
  <c r="C63" i="3"/>
  <c r="B63" i="3"/>
  <c r="K62" i="3"/>
  <c r="J62" i="3"/>
  <c r="C62" i="3"/>
  <c r="B62" i="3"/>
  <c r="K61" i="3"/>
  <c r="J61" i="3"/>
  <c r="C61" i="3"/>
  <c r="B61" i="3"/>
  <c r="K60" i="3"/>
  <c r="J60" i="3"/>
  <c r="C60" i="3"/>
  <c r="B60" i="3"/>
  <c r="K59" i="3"/>
  <c r="J59" i="3"/>
  <c r="C59" i="3"/>
  <c r="B59" i="3"/>
  <c r="K58" i="3"/>
  <c r="J58" i="3"/>
  <c r="C58" i="3"/>
  <c r="B58" i="3"/>
  <c r="K57" i="3"/>
  <c r="J57" i="3"/>
  <c r="C57" i="3"/>
  <c r="B57" i="3"/>
  <c r="K56" i="3"/>
  <c r="J56" i="3"/>
  <c r="C56" i="3"/>
  <c r="B56" i="3"/>
  <c r="K55" i="3"/>
  <c r="J55" i="3"/>
  <c r="C55" i="3"/>
  <c r="B55" i="3"/>
  <c r="K54" i="3"/>
  <c r="J54" i="3"/>
  <c r="C54" i="3"/>
  <c r="B54" i="3"/>
  <c r="K53" i="3"/>
  <c r="J53" i="3"/>
  <c r="C53" i="3"/>
  <c r="B53" i="3"/>
  <c r="K52" i="3"/>
  <c r="J52" i="3"/>
  <c r="C52" i="3"/>
  <c r="B52" i="3"/>
  <c r="K51" i="3"/>
  <c r="J51" i="3"/>
  <c r="C51" i="3"/>
  <c r="B51" i="3"/>
  <c r="K50" i="3"/>
  <c r="J50" i="3"/>
  <c r="C50" i="3"/>
  <c r="B50" i="3"/>
  <c r="K49" i="3"/>
  <c r="J49" i="3"/>
  <c r="C49" i="3"/>
  <c r="B49" i="3"/>
  <c r="K48" i="3"/>
  <c r="J48" i="3"/>
  <c r="C48" i="3"/>
  <c r="B48" i="3"/>
  <c r="K47" i="3"/>
  <c r="J47" i="3"/>
  <c r="C47" i="3"/>
  <c r="B47" i="3"/>
  <c r="K46" i="3"/>
  <c r="J46" i="3"/>
  <c r="C46" i="3"/>
  <c r="B46" i="3"/>
  <c r="K45" i="3"/>
  <c r="J45" i="3"/>
  <c r="C45" i="3"/>
  <c r="B45" i="3"/>
  <c r="K44" i="3"/>
  <c r="J44" i="3"/>
  <c r="C44" i="3"/>
  <c r="B44" i="3"/>
  <c r="K43" i="3"/>
  <c r="J43" i="3"/>
  <c r="C43" i="3"/>
  <c r="B43" i="3"/>
  <c r="K42" i="3"/>
  <c r="J42" i="3"/>
  <c r="C42" i="3"/>
  <c r="B42" i="3"/>
  <c r="K41" i="3"/>
  <c r="J41" i="3"/>
  <c r="C41" i="3"/>
  <c r="B41" i="3"/>
  <c r="K40" i="3"/>
  <c r="J40" i="3"/>
  <c r="C40" i="3"/>
  <c r="B40" i="3"/>
  <c r="K39" i="3"/>
  <c r="J39" i="3"/>
  <c r="C39" i="3"/>
  <c r="B39" i="3"/>
  <c r="K38" i="3"/>
  <c r="J38" i="3"/>
  <c r="C38" i="3"/>
  <c r="B38" i="3"/>
  <c r="K37" i="3"/>
  <c r="J37" i="3"/>
  <c r="C37" i="3"/>
  <c r="B37" i="3"/>
  <c r="K36" i="3"/>
  <c r="J36" i="3"/>
  <c r="C36" i="3"/>
  <c r="B36" i="3"/>
  <c r="K35" i="3"/>
  <c r="J35" i="3"/>
  <c r="C35" i="3"/>
  <c r="B35" i="3"/>
  <c r="K34" i="3"/>
  <c r="J34" i="3"/>
  <c r="C34" i="3"/>
  <c r="B34" i="3"/>
  <c r="K33" i="3"/>
  <c r="J33" i="3"/>
  <c r="C33" i="3"/>
  <c r="B33" i="3"/>
  <c r="K32" i="3"/>
  <c r="J32" i="3"/>
  <c r="C32" i="3"/>
  <c r="B32" i="3"/>
  <c r="K31" i="3"/>
  <c r="J31" i="3"/>
  <c r="C31" i="3"/>
  <c r="B31" i="3"/>
  <c r="K30" i="3"/>
  <c r="J30" i="3"/>
  <c r="C30" i="3"/>
  <c r="B30" i="3"/>
  <c r="K29" i="3"/>
  <c r="J29" i="3"/>
  <c r="C29" i="3"/>
  <c r="B29" i="3"/>
  <c r="K28" i="3"/>
  <c r="J28" i="3"/>
  <c r="C28" i="3"/>
  <c r="B28" i="3"/>
  <c r="K27" i="3"/>
  <c r="J27" i="3"/>
  <c r="C27" i="3"/>
  <c r="B27" i="3"/>
  <c r="K26" i="3"/>
  <c r="J26" i="3"/>
  <c r="C26" i="3"/>
  <c r="B26" i="3"/>
  <c r="K25" i="3"/>
  <c r="J25" i="3"/>
  <c r="C25" i="3"/>
  <c r="B25" i="3"/>
  <c r="K24" i="3"/>
  <c r="J24" i="3"/>
  <c r="C24" i="3"/>
  <c r="B24" i="3"/>
  <c r="K23" i="3"/>
  <c r="J23" i="3"/>
  <c r="C23" i="3"/>
  <c r="B23" i="3"/>
  <c r="K22" i="3"/>
  <c r="J22" i="3"/>
  <c r="C22" i="3"/>
  <c r="B22" i="3"/>
  <c r="K21" i="3"/>
  <c r="J21" i="3"/>
  <c r="C21" i="3"/>
  <c r="B21" i="3"/>
  <c r="K20" i="3"/>
  <c r="J20" i="3"/>
  <c r="C20" i="3"/>
  <c r="B20" i="3"/>
  <c r="K19" i="3"/>
  <c r="J19" i="3"/>
  <c r="C19" i="3"/>
  <c r="B19" i="3"/>
  <c r="K18" i="3"/>
  <c r="J18" i="3"/>
  <c r="C18" i="3"/>
  <c r="B18" i="3"/>
  <c r="K17" i="3"/>
  <c r="J17" i="3"/>
  <c r="C17" i="3"/>
  <c r="B17" i="3"/>
  <c r="K16" i="3"/>
  <c r="J16" i="3"/>
  <c r="C16" i="3"/>
  <c r="B16" i="3"/>
  <c r="K15" i="3"/>
  <c r="J15" i="3"/>
  <c r="C15" i="3"/>
  <c r="B15" i="3"/>
  <c r="K14" i="3"/>
  <c r="J14" i="3"/>
  <c r="C14" i="3"/>
  <c r="B14" i="3"/>
  <c r="K13" i="3"/>
  <c r="J13" i="3"/>
  <c r="C13" i="3"/>
  <c r="B13" i="3"/>
  <c r="K12" i="3"/>
  <c r="J12" i="3"/>
  <c r="C12" i="3"/>
  <c r="B12" i="3"/>
  <c r="K11" i="3"/>
  <c r="J11" i="3"/>
  <c r="C11" i="3"/>
  <c r="B11" i="3"/>
  <c r="K10" i="3"/>
  <c r="J10" i="3"/>
  <c r="C10" i="3"/>
  <c r="B10" i="3"/>
  <c r="K9" i="3"/>
  <c r="J9" i="3"/>
  <c r="G24" i="6" s="1"/>
  <c r="C9" i="3"/>
  <c r="B9" i="3"/>
  <c r="K8" i="3"/>
  <c r="J8" i="3"/>
  <c r="G23" i="6" s="1"/>
  <c r="C8" i="3"/>
  <c r="B8" i="3"/>
  <c r="K7" i="3"/>
  <c r="J7" i="3"/>
  <c r="G22" i="6" s="1"/>
  <c r="C7" i="3"/>
  <c r="B7" i="3"/>
  <c r="K6" i="3"/>
  <c r="J6" i="3"/>
  <c r="G21" i="6" s="1"/>
  <c r="C6" i="3"/>
  <c r="B6" i="3"/>
  <c r="C5" i="2"/>
  <c r="H19" i="5" l="1"/>
  <c r="F40" i="6"/>
  <c r="J206" i="4"/>
  <c r="F43" i="6"/>
  <c r="I206" i="4"/>
  <c r="F39" i="6"/>
  <c r="F44" i="6"/>
  <c r="E80" i="6"/>
  <c r="F59" i="6"/>
  <c r="F60" i="6"/>
  <c r="K205" i="3"/>
  <c r="E78" i="6"/>
  <c r="E79" i="6"/>
  <c r="G28" i="6"/>
  <c r="J205" i="3"/>
  <c r="C9" i="6"/>
</calcChain>
</file>

<file path=xl/sharedStrings.xml><?xml version="1.0" encoding="utf-8"?>
<sst xmlns="http://schemas.openxmlformats.org/spreadsheetml/2006/main" count="346" uniqueCount="158">
  <si>
    <t>Financial Dashboard Template – ครบชุด</t>
  </si>
  <si>
    <t>เทมเพลตข้อมูลสำหรับ Dashboard ติดตาม รายรับ / ค่าใช้จ่าย / เงินสะสม (Power BI / Tableau / Looker)</t>
  </si>
  <si>
    <t>📘 โครงสร้างไฟล์</t>
  </si>
  <si>
    <t>Sheet: README</t>
  </si>
  <si>
    <t>หน้านี้ – คำแนะนำการใช้งาน</t>
  </si>
  <si>
    <t>Sheet: Master_Data</t>
  </si>
  <si>
    <t>ตั้งค่าหน่วยงาน, ปีงบประมาณ, หมวดรายรับ-รายจ่าย</t>
  </si>
  <si>
    <t>Sheet: รายการรายรับ</t>
  </si>
  <si>
    <t>บันทึกรายรับ – แผนรับ / รับจริง / ค้างรับตามสัญญา / ค้างรับจากแผน</t>
  </si>
  <si>
    <t>Sheet: รายการค่าใช้จ่าย</t>
  </si>
  <si>
    <t>บันทึกค่าใช้จ่าย – แผนจ่าย / ค่าใช้จ่ายจริง (13 หมวด)</t>
  </si>
  <si>
    <t>Sheet: เงินสะสมรายเดือน</t>
  </si>
  <si>
    <t>บันทึก CASH-CAMT, CASH-DITC + Income/Expenses รายเดือน</t>
  </si>
  <si>
    <t>Sheet: Dashboard_Data</t>
  </si>
  <si>
    <t>ข้อมูลสรุปสำหรับเชื่อม Power BI / Tableau / Pivot Chart</t>
  </si>
  <si>
    <t>🎨 ความหมายของสีตัวอักษร</t>
  </si>
  <si>
    <t>ตัวอักษรสีน้ำเงิน</t>
  </si>
  <si>
    <t>เซลล์ที่ผู้ใช้กรอกข้อมูล (Input)</t>
  </si>
  <si>
    <t>ตัวอักษรสีดำ</t>
  </si>
  <si>
    <t>สูตรคำนวณ (อย่าแก้ไข)</t>
  </si>
  <si>
    <t>ตัวอักษรสีเขียว</t>
  </si>
  <si>
    <t>ลิงก์ดึงข้อมูลจากชีตอื่น (อย่าแก้ไข)</t>
  </si>
  <si>
    <t>พื้นหลังสีเหลือง</t>
  </si>
  <si>
    <t>ค่าที่ต้องปรับตั้งก่อนใช้งาน</t>
  </si>
  <si>
    <t>📊 คอลัมน์หลักของแต่ละชีต</t>
  </si>
  <si>
    <t>รายรับ – 4 คอลัมน์หลัก</t>
  </si>
  <si>
    <t>แผนรับ / รับจริง / ค้างรับตามสัญญา / ค้างรับจากแผน (คำนวณอัตโนมัติ)</t>
  </si>
  <si>
    <t>ค่าใช้จ่าย – 2 คอลัมน์หลัก</t>
  </si>
  <si>
    <t>แผนจ่าย / ค่าใช้จ่ายจริง พร้อม % สำเร็จ</t>
  </si>
  <si>
    <t>เงินสะสม – รายเดือน</t>
  </si>
  <si>
    <t>Income, Expenses, CASH-CAMT, CASH-DITC ตามปีงบประมาณ (ต.ค.-ก.ย.)</t>
  </si>
  <si>
    <t>🪜 ขั้นตอนการใช้งาน</t>
  </si>
  <si>
    <t>1.</t>
  </si>
  <si>
    <t>Master_Data → ปรับปีงบประมาณ, รายชื่อหน่วยงาน, รายการหมวด</t>
  </si>
  <si>
    <t>2.</t>
  </si>
  <si>
    <t>‘รายการรายรับ’ → กรอกตามหน่วยงาน × หมวด พร้อมยอด แผน/จริง/สัญญา</t>
  </si>
  <si>
    <t>3.</t>
  </si>
  <si>
    <t>‘รายการค่าใช้จ่าย’ → กรอกตามหน่วยงาน × หมวด พร้อมยอด แผน/จริง</t>
  </si>
  <si>
    <t>4.</t>
  </si>
  <si>
    <t>‘เงินสะสมรายเดือน’ → กรอก Income, Expenses, CASH-CAMT, CASH-DITC แต่ละเดือน</t>
  </si>
  <si>
    <t>5.</t>
  </si>
  <si>
    <t>‘Dashboard_Data’ ใช้เป็น Data Source ใน Power BI (Get Data → Excel)</t>
  </si>
  <si>
    <t>Master Data – ตั้งค่าก่อนใช้งาน</t>
  </si>
  <si>
    <t>ปีงบประมาณ (พ.ศ.)</t>
  </si>
  <si>
    <t>เดือนเริ่มปีงบประมาณ</t>
  </si>
  <si>
    <t>วันที่ Update ล่าสุด</t>
  </si>
  <si>
    <t>หน่วยงาน</t>
  </si>
  <si>
    <t>หมวดรายรับ</t>
  </si>
  <si>
    <t>หมวดค่าใช้จ่าย</t>
  </si>
  <si>
    <t>CAMT</t>
  </si>
  <si>
    <t>1.ค่าธรรมเนียมการศึกษา</t>
  </si>
  <si>
    <t>1.ที่ดินและสิ่งก่อสร้าง</t>
  </si>
  <si>
    <t>DITC</t>
  </si>
  <si>
    <t>2.รายรับ GE</t>
  </si>
  <si>
    <t>2.ครุภัณฑ์</t>
  </si>
  <si>
    <t>RESEARCH</t>
  </si>
  <si>
    <t>3.หลักสูตรร่วม</t>
  </si>
  <si>
    <t>3.ค่าจ้างชั่วคราว</t>
  </si>
  <si>
    <t>4.อื่นๆ เช่น ดอกเบี้ย เงินโอน จัดสรร</t>
  </si>
  <si>
    <t>4.เงินสมทบพนักงานมหาวิทยาลัย</t>
  </si>
  <si>
    <t>5.เงินประจำตำแหน่งวิชาการ</t>
  </si>
  <si>
    <t>6.เงินประจำตำแหน่งบริหาร</t>
  </si>
  <si>
    <t>7.ค่าตอบแทน ใช้สอยและวัสดุ</t>
  </si>
  <si>
    <t>8.ค่าสาธารณูปโภค</t>
  </si>
  <si>
    <t>9.เงินอุดหนุน</t>
  </si>
  <si>
    <t>10.ค่าใช้จ่ายอื่น</t>
  </si>
  <si>
    <t>11.ค่าใช้จ่ายศูนย์ DITC</t>
  </si>
  <si>
    <t>12.ต้นทุนโครงการบริการวิชาการ</t>
  </si>
  <si>
    <t>13.วิจัย</t>
  </si>
  <si>
    <t>* เพิ่ม/แก้ไขรายการได้ในช่องว่าง – Dropdown ในชีตอื่นจะอัปเดตตามอัตโนมัติ</t>
  </si>
  <si>
    <t>รายการรายรับ – Detail</t>
  </si>
  <si>
    <t>กรอกข้อมูลทีละแถว – ‘ค้างรับจากแผน’ และ ‘% สำเร็จ’ คำนวณอัตโนมัติ</t>
  </si>
  <si>
    <t>ลำดับ</t>
  </si>
  <si>
    <t>ปีงบประมาณ</t>
  </si>
  <si>
    <t>รายละเอียด</t>
  </si>
  <si>
    <t>แผนรับ</t>
  </si>
  <si>
    <t>รับจริง</t>
  </si>
  <si>
    <t>ค้างรับตามสัญญา</t>
  </si>
  <si>
    <t>ค้างรับจากแผน</t>
  </si>
  <si>
    <t>% สำเร็จ</t>
  </si>
  <si>
    <t>หมายเหตุ</t>
  </si>
  <si>
    <t>ค่าเทอม ภาคปกติ</t>
  </si>
  <si>
    <t>รายรับวิชา GE</t>
  </si>
  <si>
    <t>หลักสูตรร่วม</t>
  </si>
  <si>
    <t>ดอกเบี้ย/จัดสรร</t>
  </si>
  <si>
    <t>รวม</t>
  </si>
  <si>
    <t>รายการค่าใช้จ่าย – Detail</t>
  </si>
  <si>
    <t>กรอกข้อมูลทีละแถว – ‘คงเหลือ’ และ ‘% ใช้จริง’ คำนวณอัตโนมัติ</t>
  </si>
  <si>
    <t>แผนจ่าย</t>
  </si>
  <si>
    <t>ค่าใช้จ่ายจริง</t>
  </si>
  <si>
    <t>คงเหลือ</t>
  </si>
  <si>
    <t>% ใช้จริง</t>
  </si>
  <si>
    <t>ปรับปรุงอาคาร</t>
  </si>
  <si>
    <t>จัดซื้อครุภัณฑ์</t>
  </si>
  <si>
    <t>ค่าจ้างชั่วคราว</t>
  </si>
  <si>
    <t>เงินสมทบ</t>
  </si>
  <si>
    <t>เงินตำแหน่งวิชาการ</t>
  </si>
  <si>
    <t>เงินตำแหน่งบริหาร</t>
  </si>
  <si>
    <t>ตอบแทน-ใช้สอย-วัสดุ</t>
  </si>
  <si>
    <t>ค่าน้ำ-ไฟ-อินเทอร์เน็ต</t>
  </si>
  <si>
    <t>เงินอุดหนุน</t>
  </si>
  <si>
    <t>ค่าใช้จ่ายอื่น ๆ</t>
  </si>
  <si>
    <t>ค่าใช้จ่ายศูนย์</t>
  </si>
  <si>
    <t>ต้นทุนโครงการ</t>
  </si>
  <si>
    <t>ทุนวิจัย</t>
  </si>
  <si>
    <t>เงินสะสมรายเดือน – Cash Position</t>
  </si>
  <si>
    <t>กรอก Income, Expenses และ CASH-CAMT, CASH-DITC ของแต่ละเดือน (ปีงบประมาณ ต.ค.-ก.ย.)</t>
  </si>
  <si>
    <t>เลขเดือน</t>
  </si>
  <si>
    <t>เดือน</t>
  </si>
  <si>
    <t>Income (รายรับ)</t>
  </si>
  <si>
    <t>Expenses (รายจ่าย)</t>
  </si>
  <si>
    <t>CASH-CAMT</t>
  </si>
  <si>
    <t>CASH-DITC</t>
  </si>
  <si>
    <t>Net Cash Flow</t>
  </si>
  <si>
    <t>Cash รวม</t>
  </si>
  <si>
    <t>ตุลาคม</t>
  </si>
  <si>
    <t>พฤศจิกายน</t>
  </si>
  <si>
    <t>ธันวาคม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</si>
  <si>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</si>
  <si>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</si>
  <si>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</si>
  <si>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</si>
  <si>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</si>
  <si>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</si>
  <si>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</si>
  <si>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</si>
  <si>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</si>
  <si>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รวมทั้งปี</t>
  </si>
  <si>
    <t>Dashboard Data – แหล่งข้อมูลรวมสำหรับ Power BI / Tableau</t>
  </si>
  <si>
    <t>KPI Summary – รายรับ</t>
  </si>
  <si>
    <t>Metric</t>
  </si>
  <si>
    <t>Value</t>
  </si>
  <si>
    <t>Format</t>
  </si>
  <si>
    <t>แผนรับรวม</t>
  </si>
  <si>
    <t>Currency</t>
  </si>
  <si>
    <t>รับจริงรวม</t>
  </si>
  <si>
    <t>% สำเร็จรายรับ</t>
  </si>
  <si>
    <t>Percent</t>
  </si>
  <si>
    <t>KPI Summary – ค่าใช้จ่าย</t>
  </si>
  <si>
    <t>แผนจ่ายรวม</t>
  </si>
  <si>
    <t>ค่าใช้จ่ายรวม</t>
  </si>
  <si>
    <t>คงเหลือรวม</t>
  </si>
  <si>
    <t>รายรับตามหน่วยงาน × หมวด</t>
  </si>
  <si>
    <t>ค่าใช้จ่ายตามหน่วยงาน × หมวด</t>
  </si>
  <si>
    <t>สรุปรวมตามหน่วยงาน</t>
  </si>
  <si>
    <t>รายรับจริง</t>
  </si>
  <si>
    <t>ค่าใช้จ่าย</t>
  </si>
  <si>
    <t>Net</t>
  </si>
  <si>
    <t>Cash Position รายเดือน</t>
  </si>
  <si>
    <t>Income</t>
  </si>
  <si>
    <t>Expenses</t>
  </si>
  <si>
    <t>5.ค่าบริหารจัดการศูนย์</t>
  </si>
  <si>
    <t>6.รายได้บริการวิชาการ</t>
  </si>
  <si>
    <t xml:space="preserve">7.อื่นๆ เช่นดอกเบี้ย เงินโอน </t>
  </si>
  <si>
    <t xml:space="preserve">8.RESEARCH </t>
  </si>
  <si>
    <t xml:space="preserve">ค่าบริหารจัดการศูนย์ </t>
  </si>
  <si>
    <t xml:space="preserve">รายได้ค่าบริการวิชาการ </t>
  </si>
  <si>
    <t xml:space="preserve">ดอกเบี้ย/เงินโอน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</si>
</sst>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;[Red]\(#,##0.00\);\-"/>
    <numFmt numFmtId="165" formatCode="0.00%;[Red]\(0.00%\);\-"/>
  </numFmts>
  <fonts count="16" x14ac:knownFonts="1">
    <font>
      <sz val="11"/>
      <color theme="1"/>
      <name val="Calibri"/>
      <family val="2"/>
      <charset val="1"/>
    </font>
    <font>
      <b/>
      <sz val="16"/>
      <color rgb="FF1F3864"/>
      <name val="Tahoma"/>
      <family val="2"/>
    </font>
    <font>
      <i/>
      <sz val="11"/>
      <color rgb="FF595959"/>
      <name val="Tahoma"/>
      <family val="2"/>
    </font>
    <font>
      <b/>
      <sz val="12"/>
      <color rgb="FF1F3864"/>
      <name val="Tahoma"/>
      <family val="2"/>
    </font>
    <font>
      <b/>
      <sz val="10"/>
      <color rgb="FF000000"/>
      <name val="Tahoma"/>
      <family val="2"/>
    </font>
    <font>
      <sz val="10"/>
      <name val="Tahoma"/>
      <family val="2"/>
    </font>
    <font>
      <b/>
      <sz val="10"/>
      <color rgb="FF1F3864"/>
      <name val="Tahoma"/>
      <family val="2"/>
    </font>
    <font>
      <sz val="10"/>
      <color rgb="FF0000FF"/>
      <name val="Tahoma"/>
      <family val="2"/>
    </font>
    <font>
      <sz val="10"/>
      <color rgb="FF000000"/>
      <name val="Tahoma"/>
      <family val="2"/>
    </font>
    <font>
      <b/>
      <sz val="11"/>
      <color rgb="FFFFFFFF"/>
      <name val="Tahoma"/>
      <family val="2"/>
    </font>
    <font>
      <i/>
      <sz val="9"/>
      <color rgb="FF7F7F7F"/>
      <name val="Tahoma"/>
      <family val="2"/>
    </font>
    <font>
      <sz val="10"/>
      <color rgb="FF008000"/>
      <name val="Tahoma"/>
      <family val="2"/>
    </font>
    <font>
      <sz val="9"/>
      <color rgb="FF7F7F7F"/>
      <name val="Tahoma"/>
      <family val="2"/>
    </font>
    <font>
      <sz val="10"/>
      <color rgb="FF0000FF"/>
      <name val="Tahoma"/>
      <family val="2"/>
    </font>
    <font>
      <sz val="10"/>
      <color rgb="FFFF0000"/>
      <name val="Tahoma"/>
      <family val="2"/>
    </font>
    <font>
      <sz val="11"/>
      <color theme="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8CBAD"/>
        <bgColor rgb="FFFCE4D6"/>
      </patternFill>
    </fill>
    <fill>
      <patternFill patternType="solid">
        <fgColor rgb="FFF4B084"/>
        <bgColor rgb="FFF8CBAD"/>
      </patternFill>
    </fill>
    <fill>
      <patternFill patternType="solid">
        <fgColor rgb="FFC5E0B4"/>
        <bgColor rgb="FFBDD7EE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 applyAlignment="1">
      <alignment horizontal="left" vertical="center" wrapText="1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/>
    <xf numFmtId="0" fontId="7" fillId="4" borderId="1" xfId="0" applyFont="1" applyFill="1" applyBorder="1"/>
    <xf numFmtId="164" fontId="7" fillId="5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0" fontId="0" fillId="0" borderId="1" xfId="0" applyBorder="1"/>
    <xf numFmtId="164" fontId="0" fillId="0" borderId="1" xfId="0" applyNumberFormat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4" fontId="7" fillId="8" borderId="1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4" fontId="7" fillId="9" borderId="1" xfId="0" applyNumberFormat="1" applyFont="1" applyFill="1" applyBorder="1" applyAlignment="1">
      <alignment horizontal="right" vertical="center"/>
    </xf>
    <xf numFmtId="164" fontId="7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/>
    <xf numFmtId="0" fontId="12" fillId="0" borderId="1" xfId="0" applyFont="1" applyBorder="1"/>
    <xf numFmtId="164" fontId="11" fillId="0" borderId="1" xfId="0" applyNumberFormat="1" applyFont="1" applyBorder="1" applyAlignment="1">
      <alignment horizontal="right" vertical="center"/>
    </xf>
    <xf numFmtId="0" fontId="13" fillId="0" borderId="1" xfId="0" applyFont="1" applyBorder="1"/>
    <xf numFmtId="0" fontId="13" fillId="12" borderId="1" xfId="0" applyFont="1" applyFill="1" applyBorder="1"/>
    <xf numFmtId="164" fontId="13" fillId="13" borderId="1" xfId="0" applyNumberFormat="1" applyFont="1" applyFill="1" applyBorder="1" applyAlignment="1">
      <alignment horizontal="right" vertical="center"/>
    </xf>
    <xf numFmtId="164" fontId="13" fillId="14" borderId="1" xfId="0" applyNumberFormat="1" applyFont="1" applyFill="1" applyBorder="1" applyAlignment="1">
      <alignment horizontal="right" vertical="center"/>
    </xf>
    <xf numFmtId="164" fontId="13" fillId="15" borderId="1" xfId="0" applyNumberFormat="1" applyFont="1" applyFill="1" applyBorder="1" applyAlignment="1">
      <alignment horizontal="right" vertical="center"/>
    </xf>
    <xf numFmtId="164" fontId="14" fillId="14" borderId="1" xfId="0" applyNumberFormat="1" applyFont="1" applyFill="1" applyBorder="1" applyAlignment="1">
      <alignment horizontal="right" vertical="center"/>
    </xf>
    <xf numFmtId="164" fontId="14" fillId="15" borderId="1" xfId="0" applyNumberFormat="1" applyFont="1" applyFill="1" applyBorder="1" applyAlignment="1">
      <alignment horizontal="right" vertical="center"/>
    </xf>
    <xf numFmtId="164" fontId="14" fillId="0" borderId="1" xfId="0" applyNumberFormat="1" applyFont="1" applyBorder="1" applyAlignment="1">
      <alignment horizontal="right" vertical="center"/>
    </xf>
    <xf numFmtId="43" fontId="0" fillId="0" borderId="0" xfId="1" applyFont="1"/>
    <xf numFmtId="0" fontId="5" fillId="0" borderId="0" xfId="0" applyFont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10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11" borderId="0" xfId="0" applyFont="1" applyFill="1"/>
    <xf numFmtId="164" fontId="7" fillId="14" borderId="1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C5E0B4"/>
      <rgbColor rgb="FFF4B084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CE46DA6-04FE-4A33-83ED-3A2134DB73DB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82dfc7ac-b970-4e1e-8a48-b4377a07b9d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9"/>
  <sheetViews>
    <sheetView showGridLines="0" zoomScaleNormal="100" workbookViewId="0">
      <selection activeCell="K46" sqref="K46"/>
    </sheetView>
  </sheetViews>
  <sheetFormatPr defaultColWidth="8.7109375" defaultRowHeight="15" x14ac:dyDescent="0.25"/>
  <cols>
    <col min="1" max="1" width="2" customWidth="1"/>
    <col min="2" max="2" width="28" customWidth="1"/>
    <col min="3" max="8" width="14" customWidth="1"/>
  </cols>
  <sheetData>
    <row r="2" spans="2:8" ht="19.5" x14ac:dyDescent="0.25">
      <c r="B2" s="41" t="s">
        <v>0</v>
      </c>
      <c r="C2" s="41"/>
      <c r="D2" s="41"/>
      <c r="E2" s="41"/>
      <c r="F2" s="41"/>
      <c r="G2" s="41"/>
      <c r="H2" s="41"/>
    </row>
    <row r="3" spans="2:8" x14ac:dyDescent="0.25">
      <c r="B3" s="42" t="s">
        <v>1</v>
      </c>
      <c r="C3" s="42"/>
      <c r="D3" s="42"/>
      <c r="E3" s="42"/>
      <c r="F3" s="42"/>
      <c r="G3" s="42"/>
      <c r="H3" s="42"/>
    </row>
    <row r="5" spans="2:8" ht="15.75" x14ac:dyDescent="0.25">
      <c r="B5" s="40" t="s">
        <v>2</v>
      </c>
      <c r="C5" s="40"/>
      <c r="D5" s="40"/>
      <c r="E5" s="40"/>
      <c r="F5" s="40"/>
      <c r="G5" s="40"/>
      <c r="H5" s="40"/>
    </row>
    <row r="6" spans="2:8" ht="15" customHeight="1" x14ac:dyDescent="0.25">
      <c r="B6" s="1" t="s">
        <v>3</v>
      </c>
      <c r="C6" s="39" t="s">
        <v>4</v>
      </c>
      <c r="D6" s="39"/>
      <c r="E6" s="39"/>
      <c r="F6" s="39"/>
      <c r="G6" s="39"/>
      <c r="H6" s="39"/>
    </row>
    <row r="7" spans="2:8" ht="15" customHeight="1" x14ac:dyDescent="0.25">
      <c r="B7" s="1" t="s">
        <v>5</v>
      </c>
      <c r="C7" s="39" t="s">
        <v>6</v>
      </c>
      <c r="D7" s="39"/>
      <c r="E7" s="39"/>
      <c r="F7" s="39"/>
      <c r="G7" s="39"/>
      <c r="H7" s="39"/>
    </row>
    <row r="8" spans="2:8" ht="15" customHeight="1" x14ac:dyDescent="0.25">
      <c r="B8" s="1" t="s">
        <v>7</v>
      </c>
      <c r="C8" s="39" t="s">
        <v>8</v>
      </c>
      <c r="D8" s="39"/>
      <c r="E8" s="39"/>
      <c r="F8" s="39"/>
      <c r="G8" s="39"/>
      <c r="H8" s="39"/>
    </row>
    <row r="9" spans="2:8" ht="15" customHeight="1" x14ac:dyDescent="0.25">
      <c r="B9" s="1" t="s">
        <v>9</v>
      </c>
      <c r="C9" s="39" t="s">
        <v>10</v>
      </c>
      <c r="D9" s="39"/>
      <c r="E9" s="39"/>
      <c r="F9" s="39"/>
      <c r="G9" s="39"/>
      <c r="H9" s="39"/>
    </row>
    <row r="10" spans="2:8" ht="15" customHeight="1" x14ac:dyDescent="0.25">
      <c r="B10" s="1" t="s">
        <v>11</v>
      </c>
      <c r="C10" s="39" t="s">
        <v>12</v>
      </c>
      <c r="D10" s="39"/>
      <c r="E10" s="39"/>
      <c r="F10" s="39"/>
      <c r="G10" s="39"/>
      <c r="H10" s="39"/>
    </row>
    <row r="11" spans="2:8" ht="15" customHeight="1" x14ac:dyDescent="0.25">
      <c r="B11" s="1" t="s">
        <v>13</v>
      </c>
      <c r="C11" s="39" t="s">
        <v>14</v>
      </c>
      <c r="D11" s="39"/>
      <c r="E11" s="39"/>
      <c r="F11" s="39"/>
      <c r="G11" s="39"/>
      <c r="H11" s="39"/>
    </row>
    <row r="13" spans="2:8" ht="15.75" x14ac:dyDescent="0.25">
      <c r="B13" s="40" t="s">
        <v>15</v>
      </c>
      <c r="C13" s="40"/>
      <c r="D13" s="40"/>
      <c r="E13" s="40"/>
      <c r="F13" s="40"/>
      <c r="G13" s="40"/>
      <c r="H13" s="40"/>
    </row>
    <row r="14" spans="2:8" ht="15" customHeight="1" x14ac:dyDescent="0.25">
      <c r="B14" s="1" t="s">
        <v>16</v>
      </c>
      <c r="C14" s="39" t="s">
        <v>17</v>
      </c>
      <c r="D14" s="39"/>
      <c r="E14" s="39"/>
      <c r="F14" s="39"/>
      <c r="G14" s="39"/>
      <c r="H14" s="39"/>
    </row>
    <row r="15" spans="2:8" ht="15" customHeight="1" x14ac:dyDescent="0.25">
      <c r="B15" s="1" t="s">
        <v>18</v>
      </c>
      <c r="C15" s="39" t="s">
        <v>19</v>
      </c>
      <c r="D15" s="39"/>
      <c r="E15" s="39"/>
      <c r="F15" s="39"/>
      <c r="G15" s="39"/>
      <c r="H15" s="39"/>
    </row>
    <row r="16" spans="2:8" ht="15" customHeight="1" x14ac:dyDescent="0.25">
      <c r="B16" s="1" t="s">
        <v>20</v>
      </c>
      <c r="C16" s="39" t="s">
        <v>21</v>
      </c>
      <c r="D16" s="39"/>
      <c r="E16" s="39"/>
      <c r="F16" s="39"/>
      <c r="G16" s="39"/>
      <c r="H16" s="39"/>
    </row>
    <row r="17" spans="2:8" ht="15" customHeight="1" x14ac:dyDescent="0.25">
      <c r="B17" s="1" t="s">
        <v>22</v>
      </c>
      <c r="C17" s="39" t="s">
        <v>23</v>
      </c>
      <c r="D17" s="39"/>
      <c r="E17" s="39"/>
      <c r="F17" s="39"/>
      <c r="G17" s="39"/>
      <c r="H17" s="39"/>
    </row>
    <row r="19" spans="2:8" ht="15.75" x14ac:dyDescent="0.25">
      <c r="B19" s="40" t="s">
        <v>24</v>
      </c>
      <c r="C19" s="40"/>
      <c r="D19" s="40"/>
      <c r="E19" s="40"/>
      <c r="F19" s="40"/>
      <c r="G19" s="40"/>
      <c r="H19" s="40"/>
    </row>
    <row r="20" spans="2:8" ht="15" customHeight="1" x14ac:dyDescent="0.25">
      <c r="B20" s="1" t="s">
        <v>25</v>
      </c>
      <c r="C20" s="39" t="s">
        <v>26</v>
      </c>
      <c r="D20" s="39"/>
      <c r="E20" s="39"/>
      <c r="F20" s="39"/>
      <c r="G20" s="39"/>
      <c r="H20" s="39"/>
    </row>
    <row r="21" spans="2:8" ht="15" customHeight="1" x14ac:dyDescent="0.25">
      <c r="B21" s="1" t="s">
        <v>27</v>
      </c>
      <c r="C21" s="39" t="s">
        <v>28</v>
      </c>
      <c r="D21" s="39"/>
      <c r="E21" s="39"/>
      <c r="F21" s="39"/>
      <c r="G21" s="39"/>
      <c r="H21" s="39"/>
    </row>
    <row r="22" spans="2:8" ht="15" customHeight="1" x14ac:dyDescent="0.25">
      <c r="B22" s="1" t="s">
        <v>29</v>
      </c>
      <c r="C22" s="39" t="s">
        <v>30</v>
      </c>
      <c r="D22" s="39"/>
      <c r="E22" s="39"/>
      <c r="F22" s="39"/>
      <c r="G22" s="39"/>
      <c r="H22" s="39"/>
    </row>
    <row r="24" spans="2:8" ht="15.75" x14ac:dyDescent="0.25">
      <c r="B24" s="40" t="s">
        <v>31</v>
      </c>
      <c r="C24" s="40"/>
      <c r="D24" s="40"/>
      <c r="E24" s="40"/>
      <c r="F24" s="40"/>
      <c r="G24" s="40"/>
      <c r="H24" s="40"/>
    </row>
    <row r="25" spans="2:8" ht="15" customHeight="1" x14ac:dyDescent="0.25">
      <c r="B25" s="1" t="s">
        <v>32</v>
      </c>
      <c r="C25" s="39" t="s">
        <v>33</v>
      </c>
      <c r="D25" s="39"/>
      <c r="E25" s="39"/>
      <c r="F25" s="39"/>
      <c r="G25" s="39"/>
      <c r="H25" s="39"/>
    </row>
    <row r="26" spans="2:8" ht="15" customHeight="1" x14ac:dyDescent="0.25">
      <c r="B26" s="1" t="s">
        <v>34</v>
      </c>
      <c r="C26" s="39" t="s">
        <v>35</v>
      </c>
      <c r="D26" s="39"/>
      <c r="E26" s="39"/>
      <c r="F26" s="39"/>
      <c r="G26" s="39"/>
      <c r="H26" s="39"/>
    </row>
    <row r="27" spans="2:8" ht="15" customHeight="1" x14ac:dyDescent="0.25">
      <c r="B27" s="1" t="s">
        <v>36</v>
      </c>
      <c r="C27" s="39" t="s">
        <v>37</v>
      </c>
      <c r="D27" s="39"/>
      <c r="E27" s="39"/>
      <c r="F27" s="39"/>
      <c r="G27" s="39"/>
      <c r="H27" s="39"/>
    </row>
    <row r="28" spans="2:8" ht="15" customHeight="1" x14ac:dyDescent="0.25">
      <c r="B28" s="1" t="s">
        <v>38</v>
      </c>
      <c r="C28" s="39" t="s">
        <v>39</v>
      </c>
      <c r="D28" s="39"/>
      <c r="E28" s="39"/>
      <c r="F28" s="39"/>
      <c r="G28" s="39"/>
      <c r="H28" s="39"/>
    </row>
    <row r="29" spans="2:8" ht="15" customHeight="1" x14ac:dyDescent="0.25">
      <c r="B29" s="1" t="s">
        <v>40</v>
      </c>
      <c r="C29" s="39" t="s">
        <v>41</v>
      </c>
      <c r="D29" s="39"/>
      <c r="E29" s="39"/>
      <c r="F29" s="39"/>
      <c r="G29" s="39"/>
      <c r="H29" s="39"/>
    </row>
  </sheetData>
  <mergeCells count="24">
    <mergeCell ref="B2:H2"/>
    <mergeCell ref="B3:H3"/>
    <mergeCell ref="B5:H5"/>
    <mergeCell ref="C6:H6"/>
    <mergeCell ref="C7:H7"/>
    <mergeCell ref="C8:H8"/>
    <mergeCell ref="C9:H9"/>
    <mergeCell ref="C10:H10"/>
    <mergeCell ref="C11:H11"/>
    <mergeCell ref="B13:H13"/>
    <mergeCell ref="C14:H14"/>
    <mergeCell ref="C15:H15"/>
    <mergeCell ref="C16:H16"/>
    <mergeCell ref="C17:H17"/>
    <mergeCell ref="B19:H19"/>
    <mergeCell ref="C26:H26"/>
    <mergeCell ref="C27:H27"/>
    <mergeCell ref="C28:H28"/>
    <mergeCell ref="C29:H29"/>
    <mergeCell ref="C20:H20"/>
    <mergeCell ref="C21:H21"/>
    <mergeCell ref="C22:H22"/>
    <mergeCell ref="B24:H24"/>
    <mergeCell ref="C25:H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29"/>
  <sheetViews>
    <sheetView showGridLines="0" zoomScaleNormal="100" workbookViewId="0">
      <selection activeCell="O24" sqref="O24"/>
    </sheetView>
  </sheetViews>
  <sheetFormatPr defaultColWidth="8.7109375" defaultRowHeight="15" x14ac:dyDescent="0.25"/>
  <cols>
    <col min="1" max="1" width="2" customWidth="1"/>
    <col min="2" max="2" width="18" customWidth="1"/>
    <col min="3" max="4" width="38" customWidth="1"/>
    <col min="5" max="5" width="14" customWidth="1"/>
  </cols>
  <sheetData>
    <row r="2" spans="2:6" ht="19.5" x14ac:dyDescent="0.25">
      <c r="B2" s="41" t="s">
        <v>42</v>
      </c>
      <c r="C2" s="41"/>
      <c r="D2" s="41"/>
      <c r="E2" s="41"/>
      <c r="F2" s="41"/>
    </row>
    <row r="3" spans="2:6" x14ac:dyDescent="0.25">
      <c r="B3" s="2" t="s">
        <v>43</v>
      </c>
      <c r="C3" s="3">
        <v>2569</v>
      </c>
    </row>
    <row r="4" spans="2:6" x14ac:dyDescent="0.25">
      <c r="B4" s="2" t="s">
        <v>44</v>
      </c>
      <c r="C4" s="3">
        <v>10</v>
      </c>
    </row>
    <row r="5" spans="2:6" x14ac:dyDescent="0.25">
      <c r="B5" s="2" t="s">
        <v>45</v>
      </c>
      <c r="C5" s="4">
        <f ca="1">TODAY()</f>
        <v>46202</v>
      </c>
    </row>
    <row r="7" spans="2:6" x14ac:dyDescent="0.25">
      <c r="B7" s="5" t="s">
        <v>46</v>
      </c>
      <c r="C7" s="5" t="s">
        <v>47</v>
      </c>
      <c r="D7" s="5" t="s">
        <v>48</v>
      </c>
    </row>
    <row r="8" spans="2:6" x14ac:dyDescent="0.25">
      <c r="B8" s="6" t="s">
        <v>49</v>
      </c>
      <c r="C8" s="6" t="s">
        <v>50</v>
      </c>
      <c r="D8" s="6" t="s">
        <v>51</v>
      </c>
    </row>
    <row r="9" spans="2:6" x14ac:dyDescent="0.25">
      <c r="B9" s="6" t="s">
        <v>52</v>
      </c>
      <c r="C9" s="6" t="s">
        <v>53</v>
      </c>
      <c r="D9" s="6" t="s">
        <v>54</v>
      </c>
    </row>
    <row r="10" spans="2:6" x14ac:dyDescent="0.25">
      <c r="B10" s="6" t="s">
        <v>55</v>
      </c>
      <c r="C10" s="6" t="s">
        <v>56</v>
      </c>
      <c r="D10" s="6" t="s">
        <v>57</v>
      </c>
    </row>
    <row r="11" spans="2:6" x14ac:dyDescent="0.25">
      <c r="B11" s="6"/>
      <c r="C11" s="6" t="s">
        <v>58</v>
      </c>
      <c r="D11" s="6" t="s">
        <v>59</v>
      </c>
    </row>
    <row r="12" spans="2:6" x14ac:dyDescent="0.25">
      <c r="B12" s="6"/>
      <c r="C12" s="6" t="s">
        <v>151</v>
      </c>
      <c r="D12" s="6" t="s">
        <v>60</v>
      </c>
    </row>
    <row r="13" spans="2:6" x14ac:dyDescent="0.25">
      <c r="B13" s="6"/>
      <c r="C13" s="6" t="s">
        <v>152</v>
      </c>
      <c r="D13" s="6" t="s">
        <v>61</v>
      </c>
    </row>
    <row r="14" spans="2:6" x14ac:dyDescent="0.25">
      <c r="B14" s="6"/>
      <c r="C14" s="6" t="s">
        <v>153</v>
      </c>
      <c r="D14" s="6" t="s">
        <v>62</v>
      </c>
    </row>
    <row r="15" spans="2:6" x14ac:dyDescent="0.25">
      <c r="B15" s="6"/>
      <c r="C15" s="6" t="s">
        <v>154</v>
      </c>
      <c r="D15" s="6" t="s">
        <v>63</v>
      </c>
    </row>
    <row r="16" spans="2:6" x14ac:dyDescent="0.25">
      <c r="B16" s="6"/>
      <c r="C16" s="6"/>
      <c r="D16" s="6" t="s">
        <v>64</v>
      </c>
    </row>
    <row r="17" spans="2:5" x14ac:dyDescent="0.25">
      <c r="B17" s="6"/>
      <c r="C17" s="6"/>
      <c r="D17" s="6" t="s">
        <v>65</v>
      </c>
    </row>
    <row r="18" spans="2:5" x14ac:dyDescent="0.25">
      <c r="D18" s="6" t="s">
        <v>66</v>
      </c>
    </row>
    <row r="19" spans="2:5" x14ac:dyDescent="0.25">
      <c r="D19" s="6" t="s">
        <v>67</v>
      </c>
    </row>
    <row r="20" spans="2:5" x14ac:dyDescent="0.25">
      <c r="D20" s="6" t="s">
        <v>68</v>
      </c>
    </row>
    <row r="21" spans="2:5" x14ac:dyDescent="0.25">
      <c r="D21" s="6"/>
    </row>
    <row r="22" spans="2:5" x14ac:dyDescent="0.25">
      <c r="D22" s="6"/>
    </row>
    <row r="23" spans="2:5" x14ac:dyDescent="0.25">
      <c r="D23" s="6"/>
    </row>
    <row r="24" spans="2:5" x14ac:dyDescent="0.25">
      <c r="D24" s="6"/>
    </row>
    <row r="25" spans="2:5" x14ac:dyDescent="0.25">
      <c r="D25" s="6"/>
    </row>
    <row r="26" spans="2:5" x14ac:dyDescent="0.25">
      <c r="D26" s="6"/>
    </row>
    <row r="27" spans="2:5" x14ac:dyDescent="0.25">
      <c r="D27" s="6"/>
    </row>
    <row r="29" spans="2:5" x14ac:dyDescent="0.25">
      <c r="B29" s="43" t="s">
        <v>69</v>
      </c>
      <c r="C29" s="43"/>
      <c r="D29" s="43"/>
      <c r="E29" s="43"/>
    </row>
  </sheetData>
  <mergeCells count="2">
    <mergeCell ref="B2:F2"/>
    <mergeCell ref="B29:E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205"/>
  <sheetViews>
    <sheetView showGridLines="0" tabSelected="1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L29" sqref="L29"/>
    </sheetView>
  </sheetViews>
  <sheetFormatPr defaultColWidth="8.7109375" defaultRowHeight="15" x14ac:dyDescent="0.25"/>
  <cols>
    <col min="1" max="1" width="2" customWidth="1"/>
    <col min="2" max="2" width="6" customWidth="1"/>
    <col min="3" max="3" width="10" customWidth="1"/>
    <col min="4" max="4" width="14" customWidth="1"/>
    <col min="5" max="5" width="30" customWidth="1"/>
    <col min="6" max="6" width="28" customWidth="1"/>
    <col min="7" max="8" width="16" customWidth="1"/>
    <col min="9" max="10" width="18" customWidth="1"/>
    <col min="11" max="11" width="12" customWidth="1"/>
    <col min="12" max="12" width="18" customWidth="1"/>
  </cols>
  <sheetData>
    <row r="2" spans="2:12" ht="19.5" x14ac:dyDescent="0.25">
      <c r="B2" s="41" t="s">
        <v>70</v>
      </c>
      <c r="C2" s="41"/>
      <c r="D2" s="41"/>
      <c r="E2" s="41"/>
      <c r="F2" s="41"/>
      <c r="G2" s="41"/>
      <c r="H2" s="41"/>
      <c r="I2" s="41"/>
      <c r="J2" s="41"/>
      <c r="K2" s="41"/>
    </row>
    <row r="3" spans="2:12" x14ac:dyDescent="0.25">
      <c r="B3" s="43" t="s">
        <v>71</v>
      </c>
      <c r="C3" s="43"/>
      <c r="D3" s="43"/>
      <c r="E3" s="43"/>
      <c r="F3" s="43"/>
      <c r="G3" s="43"/>
      <c r="H3" s="43"/>
      <c r="I3" s="43"/>
      <c r="J3" s="43"/>
      <c r="K3" s="43"/>
    </row>
    <row r="5" spans="2:12" ht="36" customHeight="1" x14ac:dyDescent="0.25">
      <c r="B5" s="5" t="s">
        <v>72</v>
      </c>
      <c r="C5" s="5" t="s">
        <v>73</v>
      </c>
      <c r="D5" s="5" t="s">
        <v>46</v>
      </c>
      <c r="E5" s="5" t="s">
        <v>47</v>
      </c>
      <c r="F5" s="5" t="s">
        <v>74</v>
      </c>
      <c r="G5" s="5" t="s">
        <v>75</v>
      </c>
      <c r="H5" s="5" t="s">
        <v>76</v>
      </c>
      <c r="I5" s="5" t="s">
        <v>77</v>
      </c>
      <c r="J5" s="5" t="s">
        <v>78</v>
      </c>
      <c r="K5" s="5" t="s">
        <v>79</v>
      </c>
      <c r="L5" s="5" t="s">
        <v>80</v>
      </c>
    </row>
    <row r="6" spans="2:12" x14ac:dyDescent="0.25">
      <c r="B6" s="7">
        <f t="shared" ref="B6:B36" si="0">IF(D6="","",ROW()-5)</f>
        <v>1</v>
      </c>
      <c r="C6" s="8">
        <f>IF(D6="","",Master_Data!$C$3)</f>
        <v>2569</v>
      </c>
      <c r="D6" s="9" t="s">
        <v>49</v>
      </c>
      <c r="E6" s="9" t="s">
        <v>50</v>
      </c>
      <c r="F6" s="10" t="s">
        <v>81</v>
      </c>
      <c r="G6" s="11">
        <v>118940185</v>
      </c>
      <c r="H6" s="12">
        <f>51296036.47+4806220+1007300</f>
        <v>57109556.469999999</v>
      </c>
      <c r="I6" s="13"/>
      <c r="J6" s="14">
        <f t="shared" ref="J6:J36" si="1">IF(G6="","",IFERROR(G6-H6-I6,0))</f>
        <v>61830628.530000001</v>
      </c>
      <c r="K6" s="15">
        <f t="shared" ref="K6:K36" si="2">IF(OR(G6="",G6=0),"",H6/G6)</f>
        <v>0.48015358703200267</v>
      </c>
      <c r="L6" s="16"/>
    </row>
    <row r="7" spans="2:12" x14ac:dyDescent="0.25">
      <c r="B7" s="7">
        <f t="shared" si="0"/>
        <v>2</v>
      </c>
      <c r="C7" s="8">
        <f>IF(D7="","",Master_Data!$C$3)</f>
        <v>2569</v>
      </c>
      <c r="D7" s="9" t="s">
        <v>49</v>
      </c>
      <c r="E7" s="9" t="s">
        <v>53</v>
      </c>
      <c r="F7" s="10" t="s">
        <v>82</v>
      </c>
      <c r="G7" s="11">
        <v>1200000</v>
      </c>
      <c r="H7" s="12">
        <v>0</v>
      </c>
      <c r="I7" s="13"/>
      <c r="J7" s="14">
        <f t="shared" si="1"/>
        <v>1200000</v>
      </c>
      <c r="K7" s="15">
        <f t="shared" si="2"/>
        <v>0</v>
      </c>
      <c r="L7" s="16"/>
    </row>
    <row r="8" spans="2:12" x14ac:dyDescent="0.25">
      <c r="B8" s="7">
        <f t="shared" si="0"/>
        <v>3</v>
      </c>
      <c r="C8" s="8">
        <f>IF(D8="","",Master_Data!$C$3)</f>
        <v>2569</v>
      </c>
      <c r="D8" s="9" t="s">
        <v>49</v>
      </c>
      <c r="E8" s="9" t="s">
        <v>56</v>
      </c>
      <c r="F8" s="10" t="s">
        <v>83</v>
      </c>
      <c r="G8" s="11">
        <v>2090000</v>
      </c>
      <c r="H8" s="12">
        <v>500000</v>
      </c>
      <c r="I8" s="13"/>
      <c r="J8" s="14">
        <f t="shared" si="1"/>
        <v>1590000</v>
      </c>
      <c r="K8" s="15">
        <f t="shared" si="2"/>
        <v>0.23923444976076555</v>
      </c>
      <c r="L8" s="16"/>
    </row>
    <row r="9" spans="2:12" x14ac:dyDescent="0.25">
      <c r="B9" s="7">
        <f t="shared" si="0"/>
        <v>4</v>
      </c>
      <c r="C9" s="8">
        <f>IF(D9="","",Master_Data!$C$3)</f>
        <v>2569</v>
      </c>
      <c r="D9" s="9" t="s">
        <v>49</v>
      </c>
      <c r="E9" s="9" t="s">
        <v>58</v>
      </c>
      <c r="F9" s="10" t="s">
        <v>84</v>
      </c>
      <c r="G9" s="11">
        <v>4627281.4000000004</v>
      </c>
      <c r="H9" s="12">
        <f>3572376.17+1054905.23</f>
        <v>4627281.4000000004</v>
      </c>
      <c r="I9" s="13"/>
      <c r="J9" s="14">
        <f t="shared" si="1"/>
        <v>0</v>
      </c>
      <c r="K9" s="15">
        <f t="shared" si="2"/>
        <v>1</v>
      </c>
      <c r="L9" s="16"/>
    </row>
    <row r="10" spans="2:12" x14ac:dyDescent="0.25">
      <c r="B10" s="7">
        <f t="shared" si="0"/>
        <v>5</v>
      </c>
      <c r="C10" s="8">
        <f>IF(D10="","",Master_Data!$C$3)</f>
        <v>2569</v>
      </c>
      <c r="D10" s="30" t="s">
        <v>52</v>
      </c>
      <c r="E10" s="30" t="s">
        <v>151</v>
      </c>
      <c r="F10" s="31" t="s">
        <v>155</v>
      </c>
      <c r="G10" s="32">
        <v>5700000</v>
      </c>
      <c r="H10" s="33">
        <v>964448.65</v>
      </c>
      <c r="I10" s="34"/>
      <c r="J10" s="14">
        <f t="shared" si="1"/>
        <v>4735551.3499999996</v>
      </c>
      <c r="K10" s="15">
        <f t="shared" si="2"/>
        <v>0.16920151754385965</v>
      </c>
      <c r="L10" s="16"/>
    </row>
    <row r="11" spans="2:12" x14ac:dyDescent="0.25">
      <c r="B11" s="7">
        <f t="shared" si="0"/>
        <v>6</v>
      </c>
      <c r="C11" s="8">
        <f>IF(D11="","",Master_Data!$C$3)</f>
        <v>2569</v>
      </c>
      <c r="D11" s="30" t="s">
        <v>52</v>
      </c>
      <c r="E11" s="30" t="s">
        <v>152</v>
      </c>
      <c r="F11" s="31" t="s">
        <v>156</v>
      </c>
      <c r="G11" s="32">
        <v>51300000</v>
      </c>
      <c r="H11" s="35">
        <v>13962422.1</v>
      </c>
      <c r="I11" s="36">
        <f>22968748.07-H11</f>
        <v>9006325.9700000007</v>
      </c>
      <c r="J11" s="14">
        <f t="shared" si="1"/>
        <v>28331251.93</v>
      </c>
      <c r="K11" s="15">
        <f t="shared" si="2"/>
        <v>0.27217197076023392</v>
      </c>
      <c r="L11" s="16"/>
    </row>
    <row r="12" spans="2:12" x14ac:dyDescent="0.25">
      <c r="B12" s="7">
        <f t="shared" si="0"/>
        <v>7</v>
      </c>
      <c r="C12" s="8">
        <f>IF(D12="","",Master_Data!$C$3)</f>
        <v>2569</v>
      </c>
      <c r="D12" s="30" t="s">
        <v>52</v>
      </c>
      <c r="E12" s="30" t="s">
        <v>153</v>
      </c>
      <c r="F12" s="31" t="s">
        <v>157</v>
      </c>
      <c r="G12" s="32">
        <v>40000</v>
      </c>
      <c r="H12" s="35">
        <v>40000</v>
      </c>
      <c r="I12" s="34"/>
      <c r="J12" s="14">
        <f t="shared" si="1"/>
        <v>0</v>
      </c>
      <c r="K12" s="15">
        <f t="shared" si="2"/>
        <v>1</v>
      </c>
      <c r="L12" s="16"/>
    </row>
    <row r="13" spans="2:12" x14ac:dyDescent="0.25">
      <c r="B13" s="7">
        <f t="shared" si="0"/>
        <v>8</v>
      </c>
      <c r="C13" s="8">
        <f>IF(D13="","",Master_Data!$C$3)</f>
        <v>2569</v>
      </c>
      <c r="D13" s="30" t="s">
        <v>55</v>
      </c>
      <c r="E13" s="30" t="s">
        <v>154</v>
      </c>
      <c r="F13" s="31" t="s">
        <v>156</v>
      </c>
      <c r="G13" s="32">
        <v>15000000</v>
      </c>
      <c r="H13" s="47">
        <f>2112000+200000</f>
        <v>2312000</v>
      </c>
      <c r="I13" s="36">
        <f>4080000-2112000</f>
        <v>1968000</v>
      </c>
      <c r="J13" s="14">
        <f t="shared" si="1"/>
        <v>10720000</v>
      </c>
      <c r="K13" s="15">
        <f t="shared" si="2"/>
        <v>0.15413333333333334</v>
      </c>
      <c r="L13" s="16"/>
    </row>
    <row r="14" spans="2:12" x14ac:dyDescent="0.25">
      <c r="B14" s="7" t="str">
        <f t="shared" si="0"/>
        <v/>
      </c>
      <c r="C14" s="8" t="str">
        <f>IF(D14="","",Master_Data!$C$3)</f>
        <v/>
      </c>
      <c r="D14" s="16"/>
      <c r="E14" s="16"/>
      <c r="F14" s="16"/>
      <c r="G14" s="17"/>
      <c r="H14" s="17"/>
      <c r="I14" s="17"/>
      <c r="J14" s="14" t="str">
        <f t="shared" si="1"/>
        <v/>
      </c>
      <c r="K14" s="15" t="str">
        <f t="shared" si="2"/>
        <v/>
      </c>
      <c r="L14" s="16"/>
    </row>
    <row r="15" spans="2:12" x14ac:dyDescent="0.25">
      <c r="B15" s="7" t="str">
        <f t="shared" si="0"/>
        <v/>
      </c>
      <c r="C15" s="8" t="str">
        <f>IF(D15="","",Master_Data!$C$3)</f>
        <v/>
      </c>
      <c r="D15" s="16"/>
      <c r="E15" s="16"/>
      <c r="F15" s="16"/>
      <c r="G15" s="17"/>
      <c r="H15" s="17"/>
      <c r="I15" s="17"/>
      <c r="J15" s="14" t="str">
        <f t="shared" si="1"/>
        <v/>
      </c>
      <c r="K15" s="15" t="str">
        <f t="shared" si="2"/>
        <v/>
      </c>
      <c r="L15" s="16"/>
    </row>
    <row r="16" spans="2:12" x14ac:dyDescent="0.25">
      <c r="B16" s="7" t="str">
        <f t="shared" si="0"/>
        <v/>
      </c>
      <c r="C16" s="8" t="str">
        <f>IF(D16="","",Master_Data!$C$3)</f>
        <v/>
      </c>
      <c r="D16" s="16"/>
      <c r="E16" s="16"/>
      <c r="F16" s="16"/>
      <c r="G16" s="17"/>
      <c r="H16" s="17"/>
      <c r="I16" s="17"/>
      <c r="J16" s="14" t="str">
        <f t="shared" si="1"/>
        <v/>
      </c>
      <c r="K16" s="15" t="str">
        <f t="shared" si="2"/>
        <v/>
      </c>
      <c r="L16" s="16"/>
    </row>
    <row r="17" spans="2:12" x14ac:dyDescent="0.25">
      <c r="B17" s="7" t="str">
        <f t="shared" si="0"/>
        <v/>
      </c>
      <c r="C17" s="8" t="str">
        <f>IF(D17="","",Master_Data!$C$3)</f>
        <v/>
      </c>
      <c r="D17" s="16"/>
      <c r="E17" s="16"/>
      <c r="F17" s="16"/>
      <c r="G17" s="17"/>
      <c r="H17" s="17"/>
      <c r="I17" s="17"/>
      <c r="J17" s="14" t="str">
        <f t="shared" si="1"/>
        <v/>
      </c>
      <c r="K17" s="15" t="str">
        <f t="shared" si="2"/>
        <v/>
      </c>
      <c r="L17" s="16"/>
    </row>
    <row r="18" spans="2:12" x14ac:dyDescent="0.25">
      <c r="B18" s="7" t="str">
        <f t="shared" si="0"/>
        <v/>
      </c>
      <c r="C18" s="8" t="str">
        <f>IF(D18="","",Master_Data!$C$3)</f>
        <v/>
      </c>
      <c r="D18" s="16"/>
      <c r="E18" s="16"/>
      <c r="F18" s="16"/>
      <c r="G18" s="17"/>
      <c r="H18" s="17"/>
      <c r="I18" s="17"/>
      <c r="J18" s="14" t="str">
        <f t="shared" si="1"/>
        <v/>
      </c>
      <c r="K18" s="15" t="str">
        <f t="shared" si="2"/>
        <v/>
      </c>
      <c r="L18" s="16"/>
    </row>
    <row r="19" spans="2:12" x14ac:dyDescent="0.25">
      <c r="B19" s="7" t="str">
        <f t="shared" si="0"/>
        <v/>
      </c>
      <c r="C19" s="8" t="str">
        <f>IF(D19="","",Master_Data!$C$3)</f>
        <v/>
      </c>
      <c r="D19" s="16"/>
      <c r="E19" s="16"/>
      <c r="F19" s="16"/>
      <c r="G19" s="17"/>
      <c r="H19" s="17"/>
      <c r="I19" s="17"/>
      <c r="J19" s="14" t="str">
        <f t="shared" si="1"/>
        <v/>
      </c>
      <c r="K19" s="15" t="str">
        <f t="shared" si="2"/>
        <v/>
      </c>
      <c r="L19" s="16"/>
    </row>
    <row r="20" spans="2:12" x14ac:dyDescent="0.25">
      <c r="B20" s="7" t="str">
        <f t="shared" si="0"/>
        <v/>
      </c>
      <c r="C20" s="8" t="str">
        <f>IF(D20="","",Master_Data!$C$3)</f>
        <v/>
      </c>
      <c r="D20" s="16"/>
      <c r="E20" s="16"/>
      <c r="F20" s="16"/>
      <c r="G20" s="17"/>
      <c r="H20" s="17"/>
      <c r="I20" s="17"/>
      <c r="J20" s="14" t="str">
        <f t="shared" si="1"/>
        <v/>
      </c>
      <c r="K20" s="15" t="str">
        <f t="shared" si="2"/>
        <v/>
      </c>
      <c r="L20" s="16"/>
    </row>
    <row r="21" spans="2:12" x14ac:dyDescent="0.25">
      <c r="B21" s="7" t="str">
        <f t="shared" si="0"/>
        <v/>
      </c>
      <c r="C21" s="8" t="str">
        <f>IF(D21="","",Master_Data!$C$3)</f>
        <v/>
      </c>
      <c r="D21" s="16"/>
      <c r="E21" s="16"/>
      <c r="F21" s="16"/>
      <c r="G21" s="17"/>
      <c r="H21" s="17"/>
      <c r="I21" s="17"/>
      <c r="J21" s="14" t="str">
        <f t="shared" si="1"/>
        <v/>
      </c>
      <c r="K21" s="15" t="str">
        <f t="shared" si="2"/>
        <v/>
      </c>
      <c r="L21" s="16"/>
    </row>
    <row r="22" spans="2:12" x14ac:dyDescent="0.25">
      <c r="B22" s="7" t="str">
        <f t="shared" si="0"/>
        <v/>
      </c>
      <c r="C22" s="8" t="str">
        <f>IF(D22="","",Master_Data!$C$3)</f>
        <v/>
      </c>
      <c r="D22" s="16"/>
      <c r="E22" s="16"/>
      <c r="F22" s="16"/>
      <c r="G22" s="17"/>
      <c r="H22" s="17"/>
      <c r="I22" s="17"/>
      <c r="J22" s="14" t="str">
        <f t="shared" si="1"/>
        <v/>
      </c>
      <c r="K22" s="15" t="str">
        <f t="shared" si="2"/>
        <v/>
      </c>
      <c r="L22" s="16"/>
    </row>
    <row r="23" spans="2:12" x14ac:dyDescent="0.25">
      <c r="B23" s="7" t="str">
        <f t="shared" si="0"/>
        <v/>
      </c>
      <c r="C23" s="8" t="str">
        <f>IF(D23="","",Master_Data!$C$3)</f>
        <v/>
      </c>
      <c r="D23" s="16"/>
      <c r="E23" s="16"/>
      <c r="F23" s="16"/>
      <c r="G23" s="17"/>
      <c r="H23" s="17"/>
      <c r="I23" s="17"/>
      <c r="J23" s="14" t="str">
        <f t="shared" si="1"/>
        <v/>
      </c>
      <c r="K23" s="15" t="str">
        <f t="shared" si="2"/>
        <v/>
      </c>
      <c r="L23" s="16"/>
    </row>
    <row r="24" spans="2:12" x14ac:dyDescent="0.25">
      <c r="B24" s="7" t="str">
        <f t="shared" si="0"/>
        <v/>
      </c>
      <c r="C24" s="8" t="str">
        <f>IF(D24="","",Master_Data!$C$3)</f>
        <v/>
      </c>
      <c r="D24" s="16"/>
      <c r="E24" s="16"/>
      <c r="F24" s="16"/>
      <c r="G24" s="17"/>
      <c r="H24" s="17"/>
      <c r="I24" s="17"/>
      <c r="J24" s="14" t="str">
        <f t="shared" si="1"/>
        <v/>
      </c>
      <c r="K24" s="15" t="str">
        <f t="shared" si="2"/>
        <v/>
      </c>
      <c r="L24" s="16"/>
    </row>
    <row r="25" spans="2:12" x14ac:dyDescent="0.25">
      <c r="B25" s="7" t="str">
        <f t="shared" si="0"/>
        <v/>
      </c>
      <c r="C25" s="8" t="str">
        <f>IF(D25="","",Master_Data!$C$3)</f>
        <v/>
      </c>
      <c r="D25" s="16"/>
      <c r="E25" s="16"/>
      <c r="F25" s="16"/>
      <c r="G25" s="17"/>
      <c r="H25" s="17"/>
      <c r="I25" s="17"/>
      <c r="J25" s="14" t="str">
        <f t="shared" si="1"/>
        <v/>
      </c>
      <c r="K25" s="15" t="str">
        <f t="shared" si="2"/>
        <v/>
      </c>
      <c r="L25" s="16"/>
    </row>
    <row r="26" spans="2:12" x14ac:dyDescent="0.25">
      <c r="B26" s="7" t="str">
        <f t="shared" si="0"/>
        <v/>
      </c>
      <c r="C26" s="8" t="str">
        <f>IF(D26="","",Master_Data!$C$3)</f>
        <v/>
      </c>
      <c r="D26" s="16"/>
      <c r="E26" s="16"/>
      <c r="F26" s="16"/>
      <c r="G26" s="17"/>
      <c r="H26" s="17"/>
      <c r="I26" s="17"/>
      <c r="J26" s="14" t="str">
        <f t="shared" si="1"/>
        <v/>
      </c>
      <c r="K26" s="15" t="str">
        <f t="shared" si="2"/>
        <v/>
      </c>
      <c r="L26" s="16"/>
    </row>
    <row r="27" spans="2:12" x14ac:dyDescent="0.25">
      <c r="B27" s="7" t="str">
        <f t="shared" si="0"/>
        <v/>
      </c>
      <c r="C27" s="8" t="str">
        <f>IF(D27="","",Master_Data!$C$3)</f>
        <v/>
      </c>
      <c r="D27" s="16"/>
      <c r="E27" s="16"/>
      <c r="F27" s="16"/>
      <c r="G27" s="17"/>
      <c r="H27" s="17"/>
      <c r="I27" s="17"/>
      <c r="J27" s="14" t="str">
        <f t="shared" si="1"/>
        <v/>
      </c>
      <c r="K27" s="15" t="str">
        <f t="shared" si="2"/>
        <v/>
      </c>
      <c r="L27" s="16"/>
    </row>
    <row r="28" spans="2:12" x14ac:dyDescent="0.25">
      <c r="B28" s="7" t="str">
        <f t="shared" si="0"/>
        <v/>
      </c>
      <c r="C28" s="8" t="str">
        <f>IF(D28="","",Master_Data!$C$3)</f>
        <v/>
      </c>
      <c r="D28" s="16"/>
      <c r="E28" s="16"/>
      <c r="F28" s="16"/>
      <c r="G28" s="17"/>
      <c r="H28" s="17"/>
      <c r="I28" s="17"/>
      <c r="J28" s="14" t="str">
        <f t="shared" si="1"/>
        <v/>
      </c>
      <c r="K28" s="15" t="str">
        <f t="shared" si="2"/>
        <v/>
      </c>
      <c r="L28" s="16"/>
    </row>
    <row r="29" spans="2:12" x14ac:dyDescent="0.25">
      <c r="B29" s="7" t="str">
        <f t="shared" si="0"/>
        <v/>
      </c>
      <c r="C29" s="8" t="str">
        <f>IF(D29="","",Master_Data!$C$3)</f>
        <v/>
      </c>
      <c r="D29" s="16"/>
      <c r="E29" s="16"/>
      <c r="F29" s="16"/>
      <c r="G29" s="17"/>
      <c r="H29" s="17"/>
      <c r="I29" s="17"/>
      <c r="J29" s="14" t="str">
        <f t="shared" si="1"/>
        <v/>
      </c>
      <c r="K29" s="15" t="str">
        <f t="shared" si="2"/>
        <v/>
      </c>
      <c r="L29" s="16"/>
    </row>
    <row r="30" spans="2:12" x14ac:dyDescent="0.25">
      <c r="B30" s="7" t="str">
        <f t="shared" si="0"/>
        <v/>
      </c>
      <c r="C30" s="8" t="str">
        <f>IF(D30="","",Master_Data!$C$3)</f>
        <v/>
      </c>
      <c r="D30" s="16"/>
      <c r="E30" s="16"/>
      <c r="F30" s="16"/>
      <c r="G30" s="17"/>
      <c r="H30" s="17"/>
      <c r="I30" s="17"/>
      <c r="J30" s="14" t="str">
        <f t="shared" si="1"/>
        <v/>
      </c>
      <c r="K30" s="15" t="str">
        <f t="shared" si="2"/>
        <v/>
      </c>
      <c r="L30" s="16"/>
    </row>
    <row r="31" spans="2:12" x14ac:dyDescent="0.25">
      <c r="B31" s="7" t="str">
        <f t="shared" si="0"/>
        <v/>
      </c>
      <c r="C31" s="8" t="str">
        <f>IF(D31="","",Master_Data!$C$3)</f>
        <v/>
      </c>
      <c r="D31" s="16"/>
      <c r="E31" s="16"/>
      <c r="F31" s="16"/>
      <c r="G31" s="17"/>
      <c r="H31" s="17"/>
      <c r="I31" s="17"/>
      <c r="J31" s="14" t="str">
        <f t="shared" si="1"/>
        <v/>
      </c>
      <c r="K31" s="15" t="str">
        <f t="shared" si="2"/>
        <v/>
      </c>
      <c r="L31" s="16"/>
    </row>
    <row r="32" spans="2:12" x14ac:dyDescent="0.25">
      <c r="B32" s="7" t="str">
        <f t="shared" si="0"/>
        <v/>
      </c>
      <c r="C32" s="8" t="str">
        <f>IF(D32="","",Master_Data!$C$3)</f>
        <v/>
      </c>
      <c r="D32" s="16"/>
      <c r="E32" s="16"/>
      <c r="F32" s="16"/>
      <c r="G32" s="17"/>
      <c r="H32" s="17"/>
      <c r="I32" s="17"/>
      <c r="J32" s="14" t="str">
        <f t="shared" si="1"/>
        <v/>
      </c>
      <c r="K32" s="15" t="str">
        <f t="shared" si="2"/>
        <v/>
      </c>
      <c r="L32" s="16"/>
    </row>
    <row r="33" spans="2:12" x14ac:dyDescent="0.25">
      <c r="B33" s="7" t="str">
        <f t="shared" si="0"/>
        <v/>
      </c>
      <c r="C33" s="8" t="str">
        <f>IF(D33="","",Master_Data!$C$3)</f>
        <v/>
      </c>
      <c r="D33" s="16"/>
      <c r="E33" s="16"/>
      <c r="F33" s="16"/>
      <c r="G33" s="17"/>
      <c r="H33" s="17"/>
      <c r="I33" s="17"/>
      <c r="J33" s="14" t="str">
        <f t="shared" si="1"/>
        <v/>
      </c>
      <c r="K33" s="15" t="str">
        <f t="shared" si="2"/>
        <v/>
      </c>
      <c r="L33" s="16"/>
    </row>
    <row r="34" spans="2:12" x14ac:dyDescent="0.25">
      <c r="B34" s="7" t="str">
        <f t="shared" si="0"/>
        <v/>
      </c>
      <c r="C34" s="8" t="str">
        <f>IF(D34="","",Master_Data!$C$3)</f>
        <v/>
      </c>
      <c r="D34" s="16"/>
      <c r="E34" s="16"/>
      <c r="F34" s="16"/>
      <c r="G34" s="17"/>
      <c r="H34" s="17"/>
      <c r="I34" s="17"/>
      <c r="J34" s="14" t="str">
        <f t="shared" si="1"/>
        <v/>
      </c>
      <c r="K34" s="15" t="str">
        <f t="shared" si="2"/>
        <v/>
      </c>
      <c r="L34" s="16"/>
    </row>
    <row r="35" spans="2:12" x14ac:dyDescent="0.25">
      <c r="B35" s="7" t="str">
        <f t="shared" si="0"/>
        <v/>
      </c>
      <c r="C35" s="8" t="str">
        <f>IF(D35="","",Master_Data!$C$3)</f>
        <v/>
      </c>
      <c r="D35" s="16"/>
      <c r="E35" s="16"/>
      <c r="F35" s="16"/>
      <c r="G35" s="17"/>
      <c r="H35" s="17"/>
      <c r="I35" s="17"/>
      <c r="J35" s="14" t="str">
        <f t="shared" si="1"/>
        <v/>
      </c>
      <c r="K35" s="15" t="str">
        <f t="shared" si="2"/>
        <v/>
      </c>
      <c r="L35" s="16"/>
    </row>
    <row r="36" spans="2:12" x14ac:dyDescent="0.25">
      <c r="B36" s="7" t="str">
        <f t="shared" si="0"/>
        <v/>
      </c>
      <c r="C36" s="8" t="str">
        <f>IF(D36="","",Master_Data!$C$3)</f>
        <v/>
      </c>
      <c r="D36" s="16"/>
      <c r="E36" s="16"/>
      <c r="F36" s="16"/>
      <c r="G36" s="17"/>
      <c r="H36" s="17"/>
      <c r="I36" s="17"/>
      <c r="J36" s="14" t="str">
        <f t="shared" si="1"/>
        <v/>
      </c>
      <c r="K36" s="15" t="str">
        <f t="shared" si="2"/>
        <v/>
      </c>
      <c r="L36" s="16"/>
    </row>
    <row r="37" spans="2:12" x14ac:dyDescent="0.25">
      <c r="B37" s="7" t="str">
        <f t="shared" ref="B37:B68" si="3">IF(D37="","",ROW()-5)</f>
        <v/>
      </c>
      <c r="C37" s="8" t="str">
        <f>IF(D37="","",Master_Data!$C$3)</f>
        <v/>
      </c>
      <c r="D37" s="16"/>
      <c r="E37" s="16"/>
      <c r="F37" s="16"/>
      <c r="G37" s="17"/>
      <c r="H37" s="17"/>
      <c r="I37" s="17"/>
      <c r="J37" s="14" t="str">
        <f t="shared" ref="J37:J68" si="4">IF(G37="","",IFERROR(G37-H37-I37,0))</f>
        <v/>
      </c>
      <c r="K37" s="15" t="str">
        <f t="shared" ref="K37:K68" si="5">IF(OR(G37="",G37=0),"",H37/G37)</f>
        <v/>
      </c>
      <c r="L37" s="16"/>
    </row>
    <row r="38" spans="2:12" x14ac:dyDescent="0.25">
      <c r="B38" s="7" t="str">
        <f t="shared" si="3"/>
        <v/>
      </c>
      <c r="C38" s="8" t="str">
        <f>IF(D38="","",Master_Data!$C$3)</f>
        <v/>
      </c>
      <c r="D38" s="16"/>
      <c r="E38" s="16"/>
      <c r="F38" s="16"/>
      <c r="G38" s="17"/>
      <c r="H38" s="17"/>
      <c r="I38" s="17"/>
      <c r="J38" s="14" t="str">
        <f t="shared" si="4"/>
        <v/>
      </c>
      <c r="K38" s="15" t="str">
        <f t="shared" si="5"/>
        <v/>
      </c>
      <c r="L38" s="16"/>
    </row>
    <row r="39" spans="2:12" x14ac:dyDescent="0.25">
      <c r="B39" s="7" t="str">
        <f t="shared" si="3"/>
        <v/>
      </c>
      <c r="C39" s="8" t="str">
        <f>IF(D39="","",Master_Data!$C$3)</f>
        <v/>
      </c>
      <c r="D39" s="16"/>
      <c r="E39" s="16"/>
      <c r="F39" s="16"/>
      <c r="G39" s="17"/>
      <c r="H39" s="17"/>
      <c r="I39" s="17"/>
      <c r="J39" s="14" t="str">
        <f t="shared" si="4"/>
        <v/>
      </c>
      <c r="K39" s="15" t="str">
        <f t="shared" si="5"/>
        <v/>
      </c>
      <c r="L39" s="16"/>
    </row>
    <row r="40" spans="2:12" x14ac:dyDescent="0.25">
      <c r="B40" s="7" t="str">
        <f t="shared" si="3"/>
        <v/>
      </c>
      <c r="C40" s="8" t="str">
        <f>IF(D40="","",Master_Data!$C$3)</f>
        <v/>
      </c>
      <c r="D40" s="16"/>
      <c r="E40" s="16"/>
      <c r="F40" s="16"/>
      <c r="G40" s="17"/>
      <c r="H40" s="17"/>
      <c r="I40" s="17"/>
      <c r="J40" s="14" t="str">
        <f t="shared" si="4"/>
        <v/>
      </c>
      <c r="K40" s="15" t="str">
        <f t="shared" si="5"/>
        <v/>
      </c>
      <c r="L40" s="16"/>
    </row>
    <row r="41" spans="2:12" x14ac:dyDescent="0.25">
      <c r="B41" s="7" t="str">
        <f t="shared" si="3"/>
        <v/>
      </c>
      <c r="C41" s="8" t="str">
        <f>IF(D41="","",Master_Data!$C$3)</f>
        <v/>
      </c>
      <c r="D41" s="16"/>
      <c r="E41" s="16"/>
      <c r="F41" s="16"/>
      <c r="G41" s="17"/>
      <c r="H41" s="17"/>
      <c r="I41" s="17"/>
      <c r="J41" s="14" t="str">
        <f t="shared" si="4"/>
        <v/>
      </c>
      <c r="K41" s="15" t="str">
        <f t="shared" si="5"/>
        <v/>
      </c>
      <c r="L41" s="16"/>
    </row>
    <row r="42" spans="2:12" x14ac:dyDescent="0.25">
      <c r="B42" s="7" t="str">
        <f t="shared" si="3"/>
        <v/>
      </c>
      <c r="C42" s="8" t="str">
        <f>IF(D42="","",Master_Data!$C$3)</f>
        <v/>
      </c>
      <c r="D42" s="16"/>
      <c r="E42" s="16"/>
      <c r="F42" s="16"/>
      <c r="G42" s="17"/>
      <c r="H42" s="17"/>
      <c r="I42" s="17"/>
      <c r="J42" s="14" t="str">
        <f t="shared" si="4"/>
        <v/>
      </c>
      <c r="K42" s="15" t="str">
        <f t="shared" si="5"/>
        <v/>
      </c>
      <c r="L42" s="16"/>
    </row>
    <row r="43" spans="2:12" x14ac:dyDescent="0.25">
      <c r="B43" s="7" t="str">
        <f t="shared" si="3"/>
        <v/>
      </c>
      <c r="C43" s="8" t="str">
        <f>IF(D43="","",Master_Data!$C$3)</f>
        <v/>
      </c>
      <c r="D43" s="16"/>
      <c r="E43" s="16"/>
      <c r="F43" s="16"/>
      <c r="G43" s="17"/>
      <c r="H43" s="17"/>
      <c r="I43" s="17"/>
      <c r="J43" s="14" t="str">
        <f t="shared" si="4"/>
        <v/>
      </c>
      <c r="K43" s="15" t="str">
        <f t="shared" si="5"/>
        <v/>
      </c>
      <c r="L43" s="16"/>
    </row>
    <row r="44" spans="2:12" x14ac:dyDescent="0.25">
      <c r="B44" s="7" t="str">
        <f t="shared" si="3"/>
        <v/>
      </c>
      <c r="C44" s="8" t="str">
        <f>IF(D44="","",Master_Data!$C$3)</f>
        <v/>
      </c>
      <c r="D44" s="16"/>
      <c r="E44" s="16"/>
      <c r="F44" s="16"/>
      <c r="G44" s="17"/>
      <c r="H44" s="17"/>
      <c r="I44" s="17"/>
      <c r="J44" s="14" t="str">
        <f t="shared" si="4"/>
        <v/>
      </c>
      <c r="K44" s="15" t="str">
        <f t="shared" si="5"/>
        <v/>
      </c>
      <c r="L44" s="16"/>
    </row>
    <row r="45" spans="2:12" x14ac:dyDescent="0.25">
      <c r="B45" s="7" t="str">
        <f t="shared" si="3"/>
        <v/>
      </c>
      <c r="C45" s="8" t="str">
        <f>IF(D45="","",Master_Data!$C$3)</f>
        <v/>
      </c>
      <c r="D45" s="16"/>
      <c r="E45" s="16"/>
      <c r="F45" s="16"/>
      <c r="G45" s="17"/>
      <c r="H45" s="17"/>
      <c r="I45" s="17"/>
      <c r="J45" s="14" t="str">
        <f t="shared" si="4"/>
        <v/>
      </c>
      <c r="K45" s="15" t="str">
        <f t="shared" si="5"/>
        <v/>
      </c>
      <c r="L45" s="16"/>
    </row>
    <row r="46" spans="2:12" x14ac:dyDescent="0.25">
      <c r="B46" s="7" t="str">
        <f t="shared" si="3"/>
        <v/>
      </c>
      <c r="C46" s="8" t="str">
        <f>IF(D46="","",Master_Data!$C$3)</f>
        <v/>
      </c>
      <c r="D46" s="16"/>
      <c r="E46" s="16"/>
      <c r="F46" s="16"/>
      <c r="G46" s="17"/>
      <c r="H46" s="17"/>
      <c r="I46" s="17"/>
      <c r="J46" s="14" t="str">
        <f t="shared" si="4"/>
        <v/>
      </c>
      <c r="K46" s="15" t="str">
        <f t="shared" si="5"/>
        <v/>
      </c>
      <c r="L46" s="16"/>
    </row>
    <row r="47" spans="2:12" x14ac:dyDescent="0.25">
      <c r="B47" s="7" t="str">
        <f t="shared" si="3"/>
        <v/>
      </c>
      <c r="C47" s="8" t="str">
        <f>IF(D47="","",Master_Data!$C$3)</f>
        <v/>
      </c>
      <c r="D47" s="16"/>
      <c r="E47" s="16"/>
      <c r="F47" s="16"/>
      <c r="G47" s="17"/>
      <c r="H47" s="17"/>
      <c r="I47" s="17"/>
      <c r="J47" s="14" t="str">
        <f t="shared" si="4"/>
        <v/>
      </c>
      <c r="K47" s="15" t="str">
        <f t="shared" si="5"/>
        <v/>
      </c>
      <c r="L47" s="16"/>
    </row>
    <row r="48" spans="2:12" x14ac:dyDescent="0.25">
      <c r="B48" s="7" t="str">
        <f t="shared" si="3"/>
        <v/>
      </c>
      <c r="C48" s="8" t="str">
        <f>IF(D48="","",Master_Data!$C$3)</f>
        <v/>
      </c>
      <c r="D48" s="16"/>
      <c r="E48" s="16"/>
      <c r="F48" s="16"/>
      <c r="G48" s="17"/>
      <c r="H48" s="17"/>
      <c r="I48" s="17"/>
      <c r="J48" s="14" t="str">
        <f t="shared" si="4"/>
        <v/>
      </c>
      <c r="K48" s="15" t="str">
        <f t="shared" si="5"/>
        <v/>
      </c>
      <c r="L48" s="16"/>
    </row>
    <row r="49" spans="2:12" x14ac:dyDescent="0.25">
      <c r="B49" s="7" t="str">
        <f t="shared" si="3"/>
        <v/>
      </c>
      <c r="C49" s="8" t="str">
        <f>IF(D49="","",Master_Data!$C$3)</f>
        <v/>
      </c>
      <c r="D49" s="16"/>
      <c r="E49" s="16"/>
      <c r="F49" s="16"/>
      <c r="G49" s="17"/>
      <c r="H49" s="17"/>
      <c r="I49" s="17"/>
      <c r="J49" s="14" t="str">
        <f t="shared" si="4"/>
        <v/>
      </c>
      <c r="K49" s="15" t="str">
        <f t="shared" si="5"/>
        <v/>
      </c>
      <c r="L49" s="16"/>
    </row>
    <row r="50" spans="2:12" x14ac:dyDescent="0.25">
      <c r="B50" s="7" t="str">
        <f t="shared" si="3"/>
        <v/>
      </c>
      <c r="C50" s="8" t="str">
        <f>IF(D50="","",Master_Data!$C$3)</f>
        <v/>
      </c>
      <c r="D50" s="16"/>
      <c r="E50" s="16"/>
      <c r="F50" s="16"/>
      <c r="G50" s="17"/>
      <c r="H50" s="17"/>
      <c r="I50" s="17"/>
      <c r="J50" s="14" t="str">
        <f t="shared" si="4"/>
        <v/>
      </c>
      <c r="K50" s="15" t="str">
        <f t="shared" si="5"/>
        <v/>
      </c>
      <c r="L50" s="16"/>
    </row>
    <row r="51" spans="2:12" x14ac:dyDescent="0.25">
      <c r="B51" s="7" t="str">
        <f t="shared" si="3"/>
        <v/>
      </c>
      <c r="C51" s="8" t="str">
        <f>IF(D51="","",Master_Data!$C$3)</f>
        <v/>
      </c>
      <c r="D51" s="16"/>
      <c r="E51" s="16"/>
      <c r="F51" s="16"/>
      <c r="G51" s="17"/>
      <c r="H51" s="17"/>
      <c r="I51" s="17"/>
      <c r="J51" s="14" t="str">
        <f t="shared" si="4"/>
        <v/>
      </c>
      <c r="K51" s="15" t="str">
        <f t="shared" si="5"/>
        <v/>
      </c>
      <c r="L51" s="16"/>
    </row>
    <row r="52" spans="2:12" x14ac:dyDescent="0.25">
      <c r="B52" s="7" t="str">
        <f t="shared" si="3"/>
        <v/>
      </c>
      <c r="C52" s="8" t="str">
        <f>IF(D52="","",Master_Data!$C$3)</f>
        <v/>
      </c>
      <c r="D52" s="16"/>
      <c r="E52" s="16"/>
      <c r="F52" s="16"/>
      <c r="G52" s="17"/>
      <c r="H52" s="17"/>
      <c r="I52" s="17"/>
      <c r="J52" s="14" t="str">
        <f t="shared" si="4"/>
        <v/>
      </c>
      <c r="K52" s="15" t="str">
        <f t="shared" si="5"/>
        <v/>
      </c>
      <c r="L52" s="16"/>
    </row>
    <row r="53" spans="2:12" x14ac:dyDescent="0.25">
      <c r="B53" s="7" t="str">
        <f t="shared" si="3"/>
        <v/>
      </c>
      <c r="C53" s="8" t="str">
        <f>IF(D53="","",Master_Data!$C$3)</f>
        <v/>
      </c>
      <c r="D53" s="16"/>
      <c r="E53" s="16"/>
      <c r="F53" s="16"/>
      <c r="G53" s="17"/>
      <c r="H53" s="17"/>
      <c r="I53" s="17"/>
      <c r="J53" s="14" t="str">
        <f t="shared" si="4"/>
        <v/>
      </c>
      <c r="K53" s="15" t="str">
        <f t="shared" si="5"/>
        <v/>
      </c>
      <c r="L53" s="16"/>
    </row>
    <row r="54" spans="2:12" x14ac:dyDescent="0.25">
      <c r="B54" s="7" t="str">
        <f t="shared" si="3"/>
        <v/>
      </c>
      <c r="C54" s="8" t="str">
        <f>IF(D54="","",Master_Data!$C$3)</f>
        <v/>
      </c>
      <c r="D54" s="16"/>
      <c r="E54" s="16"/>
      <c r="F54" s="16"/>
      <c r="G54" s="17"/>
      <c r="H54" s="17"/>
      <c r="I54" s="17"/>
      <c r="J54" s="14" t="str">
        <f t="shared" si="4"/>
        <v/>
      </c>
      <c r="K54" s="15" t="str">
        <f t="shared" si="5"/>
        <v/>
      </c>
      <c r="L54" s="16"/>
    </row>
    <row r="55" spans="2:12" x14ac:dyDescent="0.25">
      <c r="B55" s="7" t="str">
        <f t="shared" si="3"/>
        <v/>
      </c>
      <c r="C55" s="8" t="str">
        <f>IF(D55="","",Master_Data!$C$3)</f>
        <v/>
      </c>
      <c r="D55" s="16"/>
      <c r="E55" s="16"/>
      <c r="F55" s="16"/>
      <c r="G55" s="17"/>
      <c r="H55" s="17"/>
      <c r="I55" s="17"/>
      <c r="J55" s="14" t="str">
        <f t="shared" si="4"/>
        <v/>
      </c>
      <c r="K55" s="15" t="str">
        <f t="shared" si="5"/>
        <v/>
      </c>
      <c r="L55" s="16"/>
    </row>
    <row r="56" spans="2:12" x14ac:dyDescent="0.25">
      <c r="B56" s="7" t="str">
        <f t="shared" si="3"/>
        <v/>
      </c>
      <c r="C56" s="8" t="str">
        <f>IF(D56="","",Master_Data!$C$3)</f>
        <v/>
      </c>
      <c r="D56" s="16"/>
      <c r="E56" s="16"/>
      <c r="F56" s="16"/>
      <c r="G56" s="17"/>
      <c r="H56" s="17"/>
      <c r="I56" s="17"/>
      <c r="J56" s="14" t="str">
        <f t="shared" si="4"/>
        <v/>
      </c>
      <c r="K56" s="15" t="str">
        <f t="shared" si="5"/>
        <v/>
      </c>
      <c r="L56" s="16"/>
    </row>
    <row r="57" spans="2:12" x14ac:dyDescent="0.25">
      <c r="B57" s="7" t="str">
        <f t="shared" si="3"/>
        <v/>
      </c>
      <c r="C57" s="8" t="str">
        <f>IF(D57="","",Master_Data!$C$3)</f>
        <v/>
      </c>
      <c r="D57" s="16"/>
      <c r="E57" s="16"/>
      <c r="F57" s="16"/>
      <c r="G57" s="17"/>
      <c r="H57" s="17"/>
      <c r="I57" s="17"/>
      <c r="J57" s="14" t="str">
        <f t="shared" si="4"/>
        <v/>
      </c>
      <c r="K57" s="15" t="str">
        <f t="shared" si="5"/>
        <v/>
      </c>
      <c r="L57" s="16"/>
    </row>
    <row r="58" spans="2:12" x14ac:dyDescent="0.25">
      <c r="B58" s="7" t="str">
        <f t="shared" si="3"/>
        <v/>
      </c>
      <c r="C58" s="8" t="str">
        <f>IF(D58="","",Master_Data!$C$3)</f>
        <v/>
      </c>
      <c r="D58" s="16"/>
      <c r="E58" s="16"/>
      <c r="F58" s="16"/>
      <c r="G58" s="17"/>
      <c r="H58" s="17"/>
      <c r="I58" s="17"/>
      <c r="J58" s="14" t="str">
        <f t="shared" si="4"/>
        <v/>
      </c>
      <c r="K58" s="15" t="str">
        <f t="shared" si="5"/>
        <v/>
      </c>
      <c r="L58" s="16"/>
    </row>
    <row r="59" spans="2:12" x14ac:dyDescent="0.25">
      <c r="B59" s="7" t="str">
        <f t="shared" si="3"/>
        <v/>
      </c>
      <c r="C59" s="8" t="str">
        <f>IF(D59="","",Master_Data!$C$3)</f>
        <v/>
      </c>
      <c r="D59" s="16"/>
      <c r="E59" s="16"/>
      <c r="F59" s="16"/>
      <c r="G59" s="17"/>
      <c r="H59" s="17"/>
      <c r="I59" s="17"/>
      <c r="J59" s="14" t="str">
        <f t="shared" si="4"/>
        <v/>
      </c>
      <c r="K59" s="15" t="str">
        <f t="shared" si="5"/>
        <v/>
      </c>
      <c r="L59" s="16"/>
    </row>
    <row r="60" spans="2:12" x14ac:dyDescent="0.25">
      <c r="B60" s="7" t="str">
        <f t="shared" si="3"/>
        <v/>
      </c>
      <c r="C60" s="8" t="str">
        <f>IF(D60="","",Master_Data!$C$3)</f>
        <v/>
      </c>
      <c r="D60" s="16"/>
      <c r="E60" s="16"/>
      <c r="F60" s="16"/>
      <c r="G60" s="17"/>
      <c r="H60" s="17"/>
      <c r="I60" s="17"/>
      <c r="J60" s="14" t="str">
        <f t="shared" si="4"/>
        <v/>
      </c>
      <c r="K60" s="15" t="str">
        <f t="shared" si="5"/>
        <v/>
      </c>
      <c r="L60" s="16"/>
    </row>
    <row r="61" spans="2:12" x14ac:dyDescent="0.25">
      <c r="B61" s="7" t="str">
        <f t="shared" si="3"/>
        <v/>
      </c>
      <c r="C61" s="8" t="str">
        <f>IF(D61="","",Master_Data!$C$3)</f>
        <v/>
      </c>
      <c r="D61" s="16"/>
      <c r="E61" s="16"/>
      <c r="F61" s="16"/>
      <c r="G61" s="17"/>
      <c r="H61" s="17"/>
      <c r="I61" s="17"/>
      <c r="J61" s="14" t="str">
        <f t="shared" si="4"/>
        <v/>
      </c>
      <c r="K61" s="15" t="str">
        <f t="shared" si="5"/>
        <v/>
      </c>
      <c r="L61" s="16"/>
    </row>
    <row r="62" spans="2:12" x14ac:dyDescent="0.25">
      <c r="B62" s="7" t="str">
        <f t="shared" si="3"/>
        <v/>
      </c>
      <c r="C62" s="8" t="str">
        <f>IF(D62="","",Master_Data!$C$3)</f>
        <v/>
      </c>
      <c r="D62" s="16"/>
      <c r="E62" s="16"/>
      <c r="F62" s="16"/>
      <c r="G62" s="17"/>
      <c r="H62" s="17"/>
      <c r="I62" s="17"/>
      <c r="J62" s="14" t="str">
        <f t="shared" si="4"/>
        <v/>
      </c>
      <c r="K62" s="15" t="str">
        <f t="shared" si="5"/>
        <v/>
      </c>
      <c r="L62" s="16"/>
    </row>
    <row r="63" spans="2:12" x14ac:dyDescent="0.25">
      <c r="B63" s="7" t="str">
        <f t="shared" si="3"/>
        <v/>
      </c>
      <c r="C63" s="8" t="str">
        <f>IF(D63="","",Master_Data!$C$3)</f>
        <v/>
      </c>
      <c r="D63" s="16"/>
      <c r="E63" s="16"/>
      <c r="F63" s="16"/>
      <c r="G63" s="17"/>
      <c r="H63" s="17"/>
      <c r="I63" s="17"/>
      <c r="J63" s="14" t="str">
        <f t="shared" si="4"/>
        <v/>
      </c>
      <c r="K63" s="15" t="str">
        <f t="shared" si="5"/>
        <v/>
      </c>
      <c r="L63" s="16"/>
    </row>
    <row r="64" spans="2:12" x14ac:dyDescent="0.25">
      <c r="B64" s="7" t="str">
        <f t="shared" si="3"/>
        <v/>
      </c>
      <c r="C64" s="8" t="str">
        <f>IF(D64="","",Master_Data!$C$3)</f>
        <v/>
      </c>
      <c r="D64" s="16"/>
      <c r="E64" s="16"/>
      <c r="F64" s="16"/>
      <c r="G64" s="17"/>
      <c r="H64" s="17"/>
      <c r="I64" s="17"/>
      <c r="J64" s="14" t="str">
        <f t="shared" si="4"/>
        <v/>
      </c>
      <c r="K64" s="15" t="str">
        <f t="shared" si="5"/>
        <v/>
      </c>
      <c r="L64" s="16"/>
    </row>
    <row r="65" spans="2:12" x14ac:dyDescent="0.25">
      <c r="B65" s="7" t="str">
        <f t="shared" si="3"/>
        <v/>
      </c>
      <c r="C65" s="8" t="str">
        <f>IF(D65="","",Master_Data!$C$3)</f>
        <v/>
      </c>
      <c r="D65" s="16"/>
      <c r="E65" s="16"/>
      <c r="F65" s="16"/>
      <c r="G65" s="17"/>
      <c r="H65" s="17"/>
      <c r="I65" s="17"/>
      <c r="J65" s="14" t="str">
        <f t="shared" si="4"/>
        <v/>
      </c>
      <c r="K65" s="15" t="str">
        <f t="shared" si="5"/>
        <v/>
      </c>
      <c r="L65" s="16"/>
    </row>
    <row r="66" spans="2:12" x14ac:dyDescent="0.25">
      <c r="B66" s="7" t="str">
        <f t="shared" si="3"/>
        <v/>
      </c>
      <c r="C66" s="8" t="str">
        <f>IF(D66="","",Master_Data!$C$3)</f>
        <v/>
      </c>
      <c r="D66" s="16"/>
      <c r="E66" s="16"/>
      <c r="F66" s="16"/>
      <c r="G66" s="17"/>
      <c r="H66" s="17"/>
      <c r="I66" s="17"/>
      <c r="J66" s="14" t="str">
        <f t="shared" si="4"/>
        <v/>
      </c>
      <c r="K66" s="15" t="str">
        <f t="shared" si="5"/>
        <v/>
      </c>
      <c r="L66" s="16"/>
    </row>
    <row r="67" spans="2:12" x14ac:dyDescent="0.25">
      <c r="B67" s="7" t="str">
        <f t="shared" si="3"/>
        <v/>
      </c>
      <c r="C67" s="8" t="str">
        <f>IF(D67="","",Master_Data!$C$3)</f>
        <v/>
      </c>
      <c r="D67" s="16"/>
      <c r="E67" s="16"/>
      <c r="F67" s="16"/>
      <c r="G67" s="17"/>
      <c r="H67" s="17"/>
      <c r="I67" s="17"/>
      <c r="J67" s="14" t="str">
        <f t="shared" si="4"/>
        <v/>
      </c>
      <c r="K67" s="15" t="str">
        <f t="shared" si="5"/>
        <v/>
      </c>
      <c r="L67" s="16"/>
    </row>
    <row r="68" spans="2:12" x14ac:dyDescent="0.25">
      <c r="B68" s="7" t="str">
        <f t="shared" si="3"/>
        <v/>
      </c>
      <c r="C68" s="8" t="str">
        <f>IF(D68="","",Master_Data!$C$3)</f>
        <v/>
      </c>
      <c r="D68" s="16"/>
      <c r="E68" s="16"/>
      <c r="F68" s="16"/>
      <c r="G68" s="17"/>
      <c r="H68" s="17"/>
      <c r="I68" s="17"/>
      <c r="J68" s="14" t="str">
        <f t="shared" si="4"/>
        <v/>
      </c>
      <c r="K68" s="15" t="str">
        <f t="shared" si="5"/>
        <v/>
      </c>
      <c r="L68" s="16"/>
    </row>
    <row r="69" spans="2:12" x14ac:dyDescent="0.25">
      <c r="B69" s="7" t="str">
        <f t="shared" ref="B69:B100" si="6">IF(D69="","",ROW()-5)</f>
        <v/>
      </c>
      <c r="C69" s="8" t="str">
        <f>IF(D69="","",Master_Data!$C$3)</f>
        <v/>
      </c>
      <c r="D69" s="16"/>
      <c r="E69" s="16"/>
      <c r="F69" s="16"/>
      <c r="G69" s="17"/>
      <c r="H69" s="17"/>
      <c r="I69" s="17"/>
      <c r="J69" s="14" t="str">
        <f t="shared" ref="J69:J100" si="7">IF(G69="","",IFERROR(G69-H69-I69,0))</f>
        <v/>
      </c>
      <c r="K69" s="15" t="str">
        <f t="shared" ref="K69:K100" si="8">IF(OR(G69="",G69=0),"",H69/G69)</f>
        <v/>
      </c>
      <c r="L69" s="16"/>
    </row>
    <row r="70" spans="2:12" x14ac:dyDescent="0.25">
      <c r="B70" s="7" t="str">
        <f t="shared" si="6"/>
        <v/>
      </c>
      <c r="C70" s="8" t="str">
        <f>IF(D70="","",Master_Data!$C$3)</f>
        <v/>
      </c>
      <c r="D70" s="16"/>
      <c r="E70" s="16"/>
      <c r="F70" s="16"/>
      <c r="G70" s="17"/>
      <c r="H70" s="17"/>
      <c r="I70" s="17"/>
      <c r="J70" s="14" t="str">
        <f t="shared" si="7"/>
        <v/>
      </c>
      <c r="K70" s="15" t="str">
        <f t="shared" si="8"/>
        <v/>
      </c>
      <c r="L70" s="16"/>
    </row>
    <row r="71" spans="2:12" x14ac:dyDescent="0.25">
      <c r="B71" s="7" t="str">
        <f t="shared" si="6"/>
        <v/>
      </c>
      <c r="C71" s="8" t="str">
        <f>IF(D71="","",Master_Data!$C$3)</f>
        <v/>
      </c>
      <c r="D71" s="16"/>
      <c r="E71" s="16"/>
      <c r="F71" s="16"/>
      <c r="G71" s="17"/>
      <c r="H71" s="17"/>
      <c r="I71" s="17"/>
      <c r="J71" s="14" t="str">
        <f t="shared" si="7"/>
        <v/>
      </c>
      <c r="K71" s="15" t="str">
        <f t="shared" si="8"/>
        <v/>
      </c>
      <c r="L71" s="16"/>
    </row>
    <row r="72" spans="2:12" x14ac:dyDescent="0.25">
      <c r="B72" s="7" t="str">
        <f t="shared" si="6"/>
        <v/>
      </c>
      <c r="C72" s="8" t="str">
        <f>IF(D72="","",Master_Data!$C$3)</f>
        <v/>
      </c>
      <c r="D72" s="16"/>
      <c r="E72" s="16"/>
      <c r="F72" s="16"/>
      <c r="G72" s="17"/>
      <c r="H72" s="17"/>
      <c r="I72" s="17"/>
      <c r="J72" s="14" t="str">
        <f t="shared" si="7"/>
        <v/>
      </c>
      <c r="K72" s="15" t="str">
        <f t="shared" si="8"/>
        <v/>
      </c>
      <c r="L72" s="16"/>
    </row>
    <row r="73" spans="2:12" x14ac:dyDescent="0.25">
      <c r="B73" s="7" t="str">
        <f t="shared" si="6"/>
        <v/>
      </c>
      <c r="C73" s="8" t="str">
        <f>IF(D73="","",Master_Data!$C$3)</f>
        <v/>
      </c>
      <c r="D73" s="16"/>
      <c r="E73" s="16"/>
      <c r="F73" s="16"/>
      <c r="G73" s="17"/>
      <c r="H73" s="17"/>
      <c r="I73" s="17"/>
      <c r="J73" s="14" t="str">
        <f t="shared" si="7"/>
        <v/>
      </c>
      <c r="K73" s="15" t="str">
        <f t="shared" si="8"/>
        <v/>
      </c>
      <c r="L73" s="16"/>
    </row>
    <row r="74" spans="2:12" x14ac:dyDescent="0.25">
      <c r="B74" s="7" t="str">
        <f t="shared" si="6"/>
        <v/>
      </c>
      <c r="C74" s="8" t="str">
        <f>IF(D74="","",Master_Data!$C$3)</f>
        <v/>
      </c>
      <c r="D74" s="16"/>
      <c r="E74" s="16"/>
      <c r="F74" s="16"/>
      <c r="G74" s="17"/>
      <c r="H74" s="17"/>
      <c r="I74" s="17"/>
      <c r="J74" s="14" t="str">
        <f t="shared" si="7"/>
        <v/>
      </c>
      <c r="K74" s="15" t="str">
        <f t="shared" si="8"/>
        <v/>
      </c>
      <c r="L74" s="16"/>
    </row>
    <row r="75" spans="2:12" x14ac:dyDescent="0.25">
      <c r="B75" s="7" t="str">
        <f t="shared" si="6"/>
        <v/>
      </c>
      <c r="C75" s="8" t="str">
        <f>IF(D75="","",Master_Data!$C$3)</f>
        <v/>
      </c>
      <c r="D75" s="16"/>
      <c r="E75" s="16"/>
      <c r="F75" s="16"/>
      <c r="G75" s="17"/>
      <c r="H75" s="17"/>
      <c r="I75" s="17"/>
      <c r="J75" s="14" t="str">
        <f t="shared" si="7"/>
        <v/>
      </c>
      <c r="K75" s="15" t="str">
        <f t="shared" si="8"/>
        <v/>
      </c>
      <c r="L75" s="16"/>
    </row>
    <row r="76" spans="2:12" x14ac:dyDescent="0.25">
      <c r="B76" s="7" t="str">
        <f t="shared" si="6"/>
        <v/>
      </c>
      <c r="C76" s="8" t="str">
        <f>IF(D76="","",Master_Data!$C$3)</f>
        <v/>
      </c>
      <c r="D76" s="16"/>
      <c r="E76" s="16"/>
      <c r="F76" s="16"/>
      <c r="G76" s="17"/>
      <c r="H76" s="17"/>
      <c r="I76" s="17"/>
      <c r="J76" s="14" t="str">
        <f t="shared" si="7"/>
        <v/>
      </c>
      <c r="K76" s="15" t="str">
        <f t="shared" si="8"/>
        <v/>
      </c>
      <c r="L76" s="16"/>
    </row>
    <row r="77" spans="2:12" x14ac:dyDescent="0.25">
      <c r="B77" s="7" t="str">
        <f t="shared" si="6"/>
        <v/>
      </c>
      <c r="C77" s="8" t="str">
        <f>IF(D77="","",Master_Data!$C$3)</f>
        <v/>
      </c>
      <c r="D77" s="16"/>
      <c r="E77" s="16"/>
      <c r="F77" s="16"/>
      <c r="G77" s="17"/>
      <c r="H77" s="17"/>
      <c r="I77" s="17"/>
      <c r="J77" s="14" t="str">
        <f t="shared" si="7"/>
        <v/>
      </c>
      <c r="K77" s="15" t="str">
        <f t="shared" si="8"/>
        <v/>
      </c>
      <c r="L77" s="16"/>
    </row>
    <row r="78" spans="2:12" x14ac:dyDescent="0.25">
      <c r="B78" s="7" t="str">
        <f t="shared" si="6"/>
        <v/>
      </c>
      <c r="C78" s="8" t="str">
        <f>IF(D78="","",Master_Data!$C$3)</f>
        <v/>
      </c>
      <c r="D78" s="16"/>
      <c r="E78" s="16"/>
      <c r="F78" s="16"/>
      <c r="G78" s="17"/>
      <c r="H78" s="17"/>
      <c r="I78" s="17"/>
      <c r="J78" s="14" t="str">
        <f t="shared" si="7"/>
        <v/>
      </c>
      <c r="K78" s="15" t="str">
        <f t="shared" si="8"/>
        <v/>
      </c>
      <c r="L78" s="16"/>
    </row>
    <row r="79" spans="2:12" x14ac:dyDescent="0.25">
      <c r="B79" s="7" t="str">
        <f t="shared" si="6"/>
        <v/>
      </c>
      <c r="C79" s="8" t="str">
        <f>IF(D79="","",Master_Data!$C$3)</f>
        <v/>
      </c>
      <c r="D79" s="16"/>
      <c r="E79" s="16"/>
      <c r="F79" s="16"/>
      <c r="G79" s="17"/>
      <c r="H79" s="17"/>
      <c r="I79" s="17"/>
      <c r="J79" s="14" t="str">
        <f t="shared" si="7"/>
        <v/>
      </c>
      <c r="K79" s="15" t="str">
        <f t="shared" si="8"/>
        <v/>
      </c>
      <c r="L79" s="16"/>
    </row>
    <row r="80" spans="2:12" x14ac:dyDescent="0.25">
      <c r="B80" s="7" t="str">
        <f t="shared" si="6"/>
        <v/>
      </c>
      <c r="C80" s="8" t="str">
        <f>IF(D80="","",Master_Data!$C$3)</f>
        <v/>
      </c>
      <c r="D80" s="16"/>
      <c r="E80" s="16"/>
      <c r="F80" s="16"/>
      <c r="G80" s="17"/>
      <c r="H80" s="17"/>
      <c r="I80" s="17"/>
      <c r="J80" s="14" t="str">
        <f t="shared" si="7"/>
        <v/>
      </c>
      <c r="K80" s="15" t="str">
        <f t="shared" si="8"/>
        <v/>
      </c>
      <c r="L80" s="16"/>
    </row>
    <row r="81" spans="2:12" x14ac:dyDescent="0.25">
      <c r="B81" s="7" t="str">
        <f t="shared" si="6"/>
        <v/>
      </c>
      <c r="C81" s="8" t="str">
        <f>IF(D81="","",Master_Data!$C$3)</f>
        <v/>
      </c>
      <c r="D81" s="16"/>
      <c r="E81" s="16"/>
      <c r="F81" s="16"/>
      <c r="G81" s="17"/>
      <c r="H81" s="17"/>
      <c r="I81" s="17"/>
      <c r="J81" s="14" t="str">
        <f t="shared" si="7"/>
        <v/>
      </c>
      <c r="K81" s="15" t="str">
        <f t="shared" si="8"/>
        <v/>
      </c>
      <c r="L81" s="16"/>
    </row>
    <row r="82" spans="2:12" x14ac:dyDescent="0.25">
      <c r="B82" s="7" t="str">
        <f t="shared" si="6"/>
        <v/>
      </c>
      <c r="C82" s="8" t="str">
        <f>IF(D82="","",Master_Data!$C$3)</f>
        <v/>
      </c>
      <c r="D82" s="16"/>
      <c r="E82" s="16"/>
      <c r="F82" s="16"/>
      <c r="G82" s="17"/>
      <c r="H82" s="17"/>
      <c r="I82" s="17"/>
      <c r="J82" s="14" t="str">
        <f t="shared" si="7"/>
        <v/>
      </c>
      <c r="K82" s="15" t="str">
        <f t="shared" si="8"/>
        <v/>
      </c>
      <c r="L82" s="16"/>
    </row>
    <row r="83" spans="2:12" x14ac:dyDescent="0.25">
      <c r="B83" s="7" t="str">
        <f t="shared" si="6"/>
        <v/>
      </c>
      <c r="C83" s="8" t="str">
        <f>IF(D83="","",Master_Data!$C$3)</f>
        <v/>
      </c>
      <c r="D83" s="16"/>
      <c r="E83" s="16"/>
      <c r="F83" s="16"/>
      <c r="G83" s="17"/>
      <c r="H83" s="17"/>
      <c r="I83" s="17"/>
      <c r="J83" s="14" t="str">
        <f t="shared" si="7"/>
        <v/>
      </c>
      <c r="K83" s="15" t="str">
        <f t="shared" si="8"/>
        <v/>
      </c>
      <c r="L83" s="16"/>
    </row>
    <row r="84" spans="2:12" x14ac:dyDescent="0.25">
      <c r="B84" s="7" t="str">
        <f t="shared" si="6"/>
        <v/>
      </c>
      <c r="C84" s="8" t="str">
        <f>IF(D84="","",Master_Data!$C$3)</f>
        <v/>
      </c>
      <c r="D84" s="16"/>
      <c r="E84" s="16"/>
      <c r="F84" s="16"/>
      <c r="G84" s="17"/>
      <c r="H84" s="17"/>
      <c r="I84" s="17"/>
      <c r="J84" s="14" t="str">
        <f t="shared" si="7"/>
        <v/>
      </c>
      <c r="K84" s="15" t="str">
        <f t="shared" si="8"/>
        <v/>
      </c>
      <c r="L84" s="16"/>
    </row>
    <row r="85" spans="2:12" x14ac:dyDescent="0.25">
      <c r="B85" s="7" t="str">
        <f t="shared" si="6"/>
        <v/>
      </c>
      <c r="C85" s="8" t="str">
        <f>IF(D85="","",Master_Data!$C$3)</f>
        <v/>
      </c>
      <c r="D85" s="16"/>
      <c r="E85" s="16"/>
      <c r="F85" s="16"/>
      <c r="G85" s="17"/>
      <c r="H85" s="17"/>
      <c r="I85" s="17"/>
      <c r="J85" s="14" t="str">
        <f t="shared" si="7"/>
        <v/>
      </c>
      <c r="K85" s="15" t="str">
        <f t="shared" si="8"/>
        <v/>
      </c>
      <c r="L85" s="16"/>
    </row>
    <row r="86" spans="2:12" x14ac:dyDescent="0.25">
      <c r="B86" s="7" t="str">
        <f t="shared" si="6"/>
        <v/>
      </c>
      <c r="C86" s="8" t="str">
        <f>IF(D86="","",Master_Data!$C$3)</f>
        <v/>
      </c>
      <c r="D86" s="16"/>
      <c r="E86" s="16"/>
      <c r="F86" s="16"/>
      <c r="G86" s="17"/>
      <c r="H86" s="17"/>
      <c r="I86" s="17"/>
      <c r="J86" s="14" t="str">
        <f t="shared" si="7"/>
        <v/>
      </c>
      <c r="K86" s="15" t="str">
        <f t="shared" si="8"/>
        <v/>
      </c>
      <c r="L86" s="16"/>
    </row>
    <row r="87" spans="2:12" x14ac:dyDescent="0.25">
      <c r="B87" s="7" t="str">
        <f t="shared" si="6"/>
        <v/>
      </c>
      <c r="C87" s="8" t="str">
        <f>IF(D87="","",Master_Data!$C$3)</f>
        <v/>
      </c>
      <c r="D87" s="16"/>
      <c r="E87" s="16"/>
      <c r="F87" s="16"/>
      <c r="G87" s="17"/>
      <c r="H87" s="17"/>
      <c r="I87" s="17"/>
      <c r="J87" s="14" t="str">
        <f t="shared" si="7"/>
        <v/>
      </c>
      <c r="K87" s="15" t="str">
        <f t="shared" si="8"/>
        <v/>
      </c>
      <c r="L87" s="16"/>
    </row>
    <row r="88" spans="2:12" x14ac:dyDescent="0.25">
      <c r="B88" s="7" t="str">
        <f t="shared" si="6"/>
        <v/>
      </c>
      <c r="C88" s="8" t="str">
        <f>IF(D88="","",Master_Data!$C$3)</f>
        <v/>
      </c>
      <c r="D88" s="16"/>
      <c r="E88" s="16"/>
      <c r="F88" s="16"/>
      <c r="G88" s="17"/>
      <c r="H88" s="17"/>
      <c r="I88" s="17"/>
      <c r="J88" s="14" t="str">
        <f t="shared" si="7"/>
        <v/>
      </c>
      <c r="K88" s="15" t="str">
        <f t="shared" si="8"/>
        <v/>
      </c>
      <c r="L88" s="16"/>
    </row>
    <row r="89" spans="2:12" x14ac:dyDescent="0.25">
      <c r="B89" s="7" t="str">
        <f t="shared" si="6"/>
        <v/>
      </c>
      <c r="C89" s="8" t="str">
        <f>IF(D89="","",Master_Data!$C$3)</f>
        <v/>
      </c>
      <c r="D89" s="16"/>
      <c r="E89" s="16"/>
      <c r="F89" s="16"/>
      <c r="G89" s="17"/>
      <c r="H89" s="17"/>
      <c r="I89" s="17"/>
      <c r="J89" s="14" t="str">
        <f t="shared" si="7"/>
        <v/>
      </c>
      <c r="K89" s="15" t="str">
        <f t="shared" si="8"/>
        <v/>
      </c>
      <c r="L89" s="16"/>
    </row>
    <row r="90" spans="2:12" x14ac:dyDescent="0.25">
      <c r="B90" s="7" t="str">
        <f t="shared" si="6"/>
        <v/>
      </c>
      <c r="C90" s="8" t="str">
        <f>IF(D90="","",Master_Data!$C$3)</f>
        <v/>
      </c>
      <c r="D90" s="16"/>
      <c r="E90" s="16"/>
      <c r="F90" s="16"/>
      <c r="G90" s="17"/>
      <c r="H90" s="17"/>
      <c r="I90" s="17"/>
      <c r="J90" s="14" t="str">
        <f t="shared" si="7"/>
        <v/>
      </c>
      <c r="K90" s="15" t="str">
        <f t="shared" si="8"/>
        <v/>
      </c>
      <c r="L90" s="16"/>
    </row>
    <row r="91" spans="2:12" x14ac:dyDescent="0.25">
      <c r="B91" s="7" t="str">
        <f t="shared" si="6"/>
        <v/>
      </c>
      <c r="C91" s="8" t="str">
        <f>IF(D91="","",Master_Data!$C$3)</f>
        <v/>
      </c>
      <c r="D91" s="16"/>
      <c r="E91" s="16"/>
      <c r="F91" s="16"/>
      <c r="G91" s="17"/>
      <c r="H91" s="17"/>
      <c r="I91" s="17"/>
      <c r="J91" s="14" t="str">
        <f t="shared" si="7"/>
        <v/>
      </c>
      <c r="K91" s="15" t="str">
        <f t="shared" si="8"/>
        <v/>
      </c>
      <c r="L91" s="16"/>
    </row>
    <row r="92" spans="2:12" x14ac:dyDescent="0.25">
      <c r="B92" s="7" t="str">
        <f t="shared" si="6"/>
        <v/>
      </c>
      <c r="C92" s="8" t="str">
        <f>IF(D92="","",Master_Data!$C$3)</f>
        <v/>
      </c>
      <c r="D92" s="16"/>
      <c r="E92" s="16"/>
      <c r="F92" s="16"/>
      <c r="G92" s="17"/>
      <c r="H92" s="17"/>
      <c r="I92" s="17"/>
      <c r="J92" s="14" t="str">
        <f t="shared" si="7"/>
        <v/>
      </c>
      <c r="K92" s="15" t="str">
        <f t="shared" si="8"/>
        <v/>
      </c>
      <c r="L92" s="16"/>
    </row>
    <row r="93" spans="2:12" x14ac:dyDescent="0.25">
      <c r="B93" s="7" t="str">
        <f t="shared" si="6"/>
        <v/>
      </c>
      <c r="C93" s="8" t="str">
        <f>IF(D93="","",Master_Data!$C$3)</f>
        <v/>
      </c>
      <c r="D93" s="16"/>
      <c r="E93" s="16"/>
      <c r="F93" s="16"/>
      <c r="G93" s="17"/>
      <c r="H93" s="17"/>
      <c r="I93" s="17"/>
      <c r="J93" s="14" t="str">
        <f t="shared" si="7"/>
        <v/>
      </c>
      <c r="K93" s="15" t="str">
        <f t="shared" si="8"/>
        <v/>
      </c>
      <c r="L93" s="16"/>
    </row>
    <row r="94" spans="2:12" x14ac:dyDescent="0.25">
      <c r="B94" s="7" t="str">
        <f t="shared" si="6"/>
        <v/>
      </c>
      <c r="C94" s="8" t="str">
        <f>IF(D94="","",Master_Data!$C$3)</f>
        <v/>
      </c>
      <c r="D94" s="16"/>
      <c r="E94" s="16"/>
      <c r="F94" s="16"/>
      <c r="G94" s="17"/>
      <c r="H94" s="17"/>
      <c r="I94" s="17"/>
      <c r="J94" s="14" t="str">
        <f t="shared" si="7"/>
        <v/>
      </c>
      <c r="K94" s="15" t="str">
        <f t="shared" si="8"/>
        <v/>
      </c>
      <c r="L94" s="16"/>
    </row>
    <row r="95" spans="2:12" x14ac:dyDescent="0.25">
      <c r="B95" s="7" t="str">
        <f t="shared" si="6"/>
        <v/>
      </c>
      <c r="C95" s="8" t="str">
        <f>IF(D95="","",Master_Data!$C$3)</f>
        <v/>
      </c>
      <c r="D95" s="16"/>
      <c r="E95" s="16"/>
      <c r="F95" s="16"/>
      <c r="G95" s="17"/>
      <c r="H95" s="17"/>
      <c r="I95" s="17"/>
      <c r="J95" s="14" t="str">
        <f t="shared" si="7"/>
        <v/>
      </c>
      <c r="K95" s="15" t="str">
        <f t="shared" si="8"/>
        <v/>
      </c>
      <c r="L95" s="16"/>
    </row>
    <row r="96" spans="2:12" x14ac:dyDescent="0.25">
      <c r="B96" s="7" t="str">
        <f t="shared" si="6"/>
        <v/>
      </c>
      <c r="C96" s="8" t="str">
        <f>IF(D96="","",Master_Data!$C$3)</f>
        <v/>
      </c>
      <c r="D96" s="16"/>
      <c r="E96" s="16"/>
      <c r="F96" s="16"/>
      <c r="G96" s="17"/>
      <c r="H96" s="17"/>
      <c r="I96" s="17"/>
      <c r="J96" s="14" t="str">
        <f t="shared" si="7"/>
        <v/>
      </c>
      <c r="K96" s="15" t="str">
        <f t="shared" si="8"/>
        <v/>
      </c>
      <c r="L96" s="16"/>
    </row>
    <row r="97" spans="2:12" x14ac:dyDescent="0.25">
      <c r="B97" s="7" t="str">
        <f t="shared" si="6"/>
        <v/>
      </c>
      <c r="C97" s="8" t="str">
        <f>IF(D97="","",Master_Data!$C$3)</f>
        <v/>
      </c>
      <c r="D97" s="16"/>
      <c r="E97" s="16"/>
      <c r="F97" s="16"/>
      <c r="G97" s="17"/>
      <c r="H97" s="17"/>
      <c r="I97" s="17"/>
      <c r="J97" s="14" t="str">
        <f t="shared" si="7"/>
        <v/>
      </c>
      <c r="K97" s="15" t="str">
        <f t="shared" si="8"/>
        <v/>
      </c>
      <c r="L97" s="16"/>
    </row>
    <row r="98" spans="2:12" x14ac:dyDescent="0.25">
      <c r="B98" s="7" t="str">
        <f t="shared" si="6"/>
        <v/>
      </c>
      <c r="C98" s="8" t="str">
        <f>IF(D98="","",Master_Data!$C$3)</f>
        <v/>
      </c>
      <c r="D98" s="16"/>
      <c r="E98" s="16"/>
      <c r="F98" s="16"/>
      <c r="G98" s="17"/>
      <c r="H98" s="17"/>
      <c r="I98" s="17"/>
      <c r="J98" s="14" t="str">
        <f t="shared" si="7"/>
        <v/>
      </c>
      <c r="K98" s="15" t="str">
        <f t="shared" si="8"/>
        <v/>
      </c>
      <c r="L98" s="16"/>
    </row>
    <row r="99" spans="2:12" x14ac:dyDescent="0.25">
      <c r="B99" s="7" t="str">
        <f t="shared" si="6"/>
        <v/>
      </c>
      <c r="C99" s="8" t="str">
        <f>IF(D99="","",Master_Data!$C$3)</f>
        <v/>
      </c>
      <c r="D99" s="16"/>
      <c r="E99" s="16"/>
      <c r="F99" s="16"/>
      <c r="G99" s="17"/>
      <c r="H99" s="17"/>
      <c r="I99" s="17"/>
      <c r="J99" s="14" t="str">
        <f t="shared" si="7"/>
        <v/>
      </c>
      <c r="K99" s="15" t="str">
        <f t="shared" si="8"/>
        <v/>
      </c>
      <c r="L99" s="16"/>
    </row>
    <row r="100" spans="2:12" x14ac:dyDescent="0.25">
      <c r="B100" s="7" t="str">
        <f t="shared" si="6"/>
        <v/>
      </c>
      <c r="C100" s="8" t="str">
        <f>IF(D100="","",Master_Data!$C$3)</f>
        <v/>
      </c>
      <c r="D100" s="16"/>
      <c r="E100" s="16"/>
      <c r="F100" s="16"/>
      <c r="G100" s="17"/>
      <c r="H100" s="17"/>
      <c r="I100" s="17"/>
      <c r="J100" s="14" t="str">
        <f t="shared" si="7"/>
        <v/>
      </c>
      <c r="K100" s="15" t="str">
        <f t="shared" si="8"/>
        <v/>
      </c>
      <c r="L100" s="16"/>
    </row>
    <row r="101" spans="2:12" x14ac:dyDescent="0.25">
      <c r="B101" s="7" t="str">
        <f t="shared" ref="B101:B132" si="9">IF(D101="","",ROW()-5)</f>
        <v/>
      </c>
      <c r="C101" s="8" t="str">
        <f>IF(D101="","",Master_Data!$C$3)</f>
        <v/>
      </c>
      <c r="D101" s="16"/>
      <c r="E101" s="16"/>
      <c r="F101" s="16"/>
      <c r="G101" s="17"/>
      <c r="H101" s="17"/>
      <c r="I101" s="17"/>
      <c r="J101" s="14" t="str">
        <f t="shared" ref="J101:J132" si="10">IF(G101="","",IFERROR(G101-H101-I101,0))</f>
        <v/>
      </c>
      <c r="K101" s="15" t="str">
        <f t="shared" ref="K101:K132" si="11">IF(OR(G101="",G101=0),"",H101/G101)</f>
        <v/>
      </c>
      <c r="L101" s="16"/>
    </row>
    <row r="102" spans="2:12" x14ac:dyDescent="0.25">
      <c r="B102" s="7" t="str">
        <f t="shared" si="9"/>
        <v/>
      </c>
      <c r="C102" s="8" t="str">
        <f>IF(D102="","",Master_Data!$C$3)</f>
        <v/>
      </c>
      <c r="D102" s="16"/>
      <c r="E102" s="16"/>
      <c r="F102" s="16"/>
      <c r="G102" s="17"/>
      <c r="H102" s="17"/>
      <c r="I102" s="17"/>
      <c r="J102" s="14" t="str">
        <f t="shared" si="10"/>
        <v/>
      </c>
      <c r="K102" s="15" t="str">
        <f t="shared" si="11"/>
        <v/>
      </c>
      <c r="L102" s="16"/>
    </row>
    <row r="103" spans="2:12" x14ac:dyDescent="0.25">
      <c r="B103" s="7" t="str">
        <f t="shared" si="9"/>
        <v/>
      </c>
      <c r="C103" s="8" t="str">
        <f>IF(D103="","",Master_Data!$C$3)</f>
        <v/>
      </c>
      <c r="D103" s="16"/>
      <c r="E103" s="16"/>
      <c r="F103" s="16"/>
      <c r="G103" s="17"/>
      <c r="H103" s="17"/>
      <c r="I103" s="17"/>
      <c r="J103" s="14" t="str">
        <f t="shared" si="10"/>
        <v/>
      </c>
      <c r="K103" s="15" t="str">
        <f t="shared" si="11"/>
        <v/>
      </c>
      <c r="L103" s="16"/>
    </row>
    <row r="104" spans="2:12" x14ac:dyDescent="0.25">
      <c r="B104" s="7" t="str">
        <f t="shared" si="9"/>
        <v/>
      </c>
      <c r="C104" s="8" t="str">
        <f>IF(D104="","",Master_Data!$C$3)</f>
        <v/>
      </c>
      <c r="D104" s="16"/>
      <c r="E104" s="16"/>
      <c r="F104" s="16"/>
      <c r="G104" s="17"/>
      <c r="H104" s="17"/>
      <c r="I104" s="17"/>
      <c r="J104" s="14" t="str">
        <f t="shared" si="10"/>
        <v/>
      </c>
      <c r="K104" s="15" t="str">
        <f t="shared" si="11"/>
        <v/>
      </c>
      <c r="L104" s="16"/>
    </row>
    <row r="105" spans="2:12" x14ac:dyDescent="0.25">
      <c r="B105" s="7" t="str">
        <f t="shared" si="9"/>
        <v/>
      </c>
      <c r="C105" s="8" t="str">
        <f>IF(D105="","",Master_Data!$C$3)</f>
        <v/>
      </c>
      <c r="D105" s="16"/>
      <c r="E105" s="16"/>
      <c r="F105" s="16"/>
      <c r="G105" s="17"/>
      <c r="H105" s="17"/>
      <c r="I105" s="17"/>
      <c r="J105" s="14" t="str">
        <f t="shared" si="10"/>
        <v/>
      </c>
      <c r="K105" s="15" t="str">
        <f t="shared" si="11"/>
        <v/>
      </c>
      <c r="L105" s="16"/>
    </row>
    <row r="106" spans="2:12" x14ac:dyDescent="0.25">
      <c r="B106" s="7" t="str">
        <f t="shared" si="9"/>
        <v/>
      </c>
      <c r="C106" s="8" t="str">
        <f>IF(D106="","",Master_Data!$C$3)</f>
        <v/>
      </c>
      <c r="D106" s="16"/>
      <c r="E106" s="16"/>
      <c r="F106" s="16"/>
      <c r="G106" s="17"/>
      <c r="H106" s="17"/>
      <c r="I106" s="17"/>
      <c r="J106" s="14" t="str">
        <f t="shared" si="10"/>
        <v/>
      </c>
      <c r="K106" s="15" t="str">
        <f t="shared" si="11"/>
        <v/>
      </c>
      <c r="L106" s="16"/>
    </row>
    <row r="107" spans="2:12" x14ac:dyDescent="0.25">
      <c r="B107" s="7" t="str">
        <f t="shared" si="9"/>
        <v/>
      </c>
      <c r="C107" s="8" t="str">
        <f>IF(D107="","",Master_Data!$C$3)</f>
        <v/>
      </c>
      <c r="D107" s="16"/>
      <c r="E107" s="16"/>
      <c r="F107" s="16"/>
      <c r="G107" s="17"/>
      <c r="H107" s="17"/>
      <c r="I107" s="17"/>
      <c r="J107" s="14" t="str">
        <f t="shared" si="10"/>
        <v/>
      </c>
      <c r="K107" s="15" t="str">
        <f t="shared" si="11"/>
        <v/>
      </c>
      <c r="L107" s="16"/>
    </row>
    <row r="108" spans="2:12" x14ac:dyDescent="0.25">
      <c r="B108" s="7" t="str">
        <f t="shared" si="9"/>
        <v/>
      </c>
      <c r="C108" s="8" t="str">
        <f>IF(D108="","",Master_Data!$C$3)</f>
        <v/>
      </c>
      <c r="D108" s="16"/>
      <c r="E108" s="16"/>
      <c r="F108" s="16"/>
      <c r="G108" s="17"/>
      <c r="H108" s="17"/>
      <c r="I108" s="17"/>
      <c r="J108" s="14" t="str">
        <f t="shared" si="10"/>
        <v/>
      </c>
      <c r="K108" s="15" t="str">
        <f t="shared" si="11"/>
        <v/>
      </c>
      <c r="L108" s="16"/>
    </row>
    <row r="109" spans="2:12" x14ac:dyDescent="0.25">
      <c r="B109" s="7" t="str">
        <f t="shared" si="9"/>
        <v/>
      </c>
      <c r="C109" s="8" t="str">
        <f>IF(D109="","",Master_Data!$C$3)</f>
        <v/>
      </c>
      <c r="D109" s="16"/>
      <c r="E109" s="16"/>
      <c r="F109" s="16"/>
      <c r="G109" s="17"/>
      <c r="H109" s="17"/>
      <c r="I109" s="17"/>
      <c r="J109" s="14" t="str">
        <f t="shared" si="10"/>
        <v/>
      </c>
      <c r="K109" s="15" t="str">
        <f t="shared" si="11"/>
        <v/>
      </c>
      <c r="L109" s="16"/>
    </row>
    <row r="110" spans="2:12" x14ac:dyDescent="0.25">
      <c r="B110" s="7" t="str">
        <f t="shared" si="9"/>
        <v/>
      </c>
      <c r="C110" s="8" t="str">
        <f>IF(D110="","",Master_Data!$C$3)</f>
        <v/>
      </c>
      <c r="D110" s="16"/>
      <c r="E110" s="16"/>
      <c r="F110" s="16"/>
      <c r="G110" s="17"/>
      <c r="H110" s="17"/>
      <c r="I110" s="17"/>
      <c r="J110" s="14" t="str">
        <f t="shared" si="10"/>
        <v/>
      </c>
      <c r="K110" s="15" t="str">
        <f t="shared" si="11"/>
        <v/>
      </c>
      <c r="L110" s="16"/>
    </row>
    <row r="111" spans="2:12" x14ac:dyDescent="0.25">
      <c r="B111" s="7" t="str">
        <f t="shared" si="9"/>
        <v/>
      </c>
      <c r="C111" s="8" t="str">
        <f>IF(D111="","",Master_Data!$C$3)</f>
        <v/>
      </c>
      <c r="D111" s="16"/>
      <c r="E111" s="16"/>
      <c r="F111" s="16"/>
      <c r="G111" s="17"/>
      <c r="H111" s="17"/>
      <c r="I111" s="17"/>
      <c r="J111" s="14" t="str">
        <f t="shared" si="10"/>
        <v/>
      </c>
      <c r="K111" s="15" t="str">
        <f t="shared" si="11"/>
        <v/>
      </c>
      <c r="L111" s="16"/>
    </row>
    <row r="112" spans="2:12" x14ac:dyDescent="0.25">
      <c r="B112" s="7" t="str">
        <f t="shared" si="9"/>
        <v/>
      </c>
      <c r="C112" s="8" t="str">
        <f>IF(D112="","",Master_Data!$C$3)</f>
        <v/>
      </c>
      <c r="D112" s="16"/>
      <c r="E112" s="16"/>
      <c r="F112" s="16"/>
      <c r="G112" s="17"/>
      <c r="H112" s="17"/>
      <c r="I112" s="17"/>
      <c r="J112" s="14" t="str">
        <f t="shared" si="10"/>
        <v/>
      </c>
      <c r="K112" s="15" t="str">
        <f t="shared" si="11"/>
        <v/>
      </c>
      <c r="L112" s="16"/>
    </row>
    <row r="113" spans="2:12" x14ac:dyDescent="0.25">
      <c r="B113" s="7" t="str">
        <f t="shared" si="9"/>
        <v/>
      </c>
      <c r="C113" s="8" t="str">
        <f>IF(D113="","",Master_Data!$C$3)</f>
        <v/>
      </c>
      <c r="D113" s="16"/>
      <c r="E113" s="16"/>
      <c r="F113" s="16"/>
      <c r="G113" s="17"/>
      <c r="H113" s="17"/>
      <c r="I113" s="17"/>
      <c r="J113" s="14" t="str">
        <f t="shared" si="10"/>
        <v/>
      </c>
      <c r="K113" s="15" t="str">
        <f t="shared" si="11"/>
        <v/>
      </c>
      <c r="L113" s="16"/>
    </row>
    <row r="114" spans="2:12" x14ac:dyDescent="0.25">
      <c r="B114" s="7" t="str">
        <f t="shared" si="9"/>
        <v/>
      </c>
      <c r="C114" s="8" t="str">
        <f>IF(D114="","",Master_Data!$C$3)</f>
        <v/>
      </c>
      <c r="D114" s="16"/>
      <c r="E114" s="16"/>
      <c r="F114" s="16"/>
      <c r="G114" s="17"/>
      <c r="H114" s="17"/>
      <c r="I114" s="17"/>
      <c r="J114" s="14" t="str">
        <f t="shared" si="10"/>
        <v/>
      </c>
      <c r="K114" s="15" t="str">
        <f t="shared" si="11"/>
        <v/>
      </c>
      <c r="L114" s="16"/>
    </row>
    <row r="115" spans="2:12" x14ac:dyDescent="0.25">
      <c r="B115" s="7" t="str">
        <f t="shared" si="9"/>
        <v/>
      </c>
      <c r="C115" s="8" t="str">
        <f>IF(D115="","",Master_Data!$C$3)</f>
        <v/>
      </c>
      <c r="D115" s="16"/>
      <c r="E115" s="16"/>
      <c r="F115" s="16"/>
      <c r="G115" s="17"/>
      <c r="H115" s="17"/>
      <c r="I115" s="17"/>
      <c r="J115" s="14" t="str">
        <f t="shared" si="10"/>
        <v/>
      </c>
      <c r="K115" s="15" t="str">
        <f t="shared" si="11"/>
        <v/>
      </c>
      <c r="L115" s="16"/>
    </row>
    <row r="116" spans="2:12" x14ac:dyDescent="0.25">
      <c r="B116" s="7" t="str">
        <f t="shared" si="9"/>
        <v/>
      </c>
      <c r="C116" s="8" t="str">
        <f>IF(D116="","",Master_Data!$C$3)</f>
        <v/>
      </c>
      <c r="D116" s="16"/>
      <c r="E116" s="16"/>
      <c r="F116" s="16"/>
      <c r="G116" s="17"/>
      <c r="H116" s="17"/>
      <c r="I116" s="17"/>
      <c r="J116" s="14" t="str">
        <f t="shared" si="10"/>
        <v/>
      </c>
      <c r="K116" s="15" t="str">
        <f t="shared" si="11"/>
        <v/>
      </c>
      <c r="L116" s="16"/>
    </row>
    <row r="117" spans="2:12" x14ac:dyDescent="0.25">
      <c r="B117" s="7" t="str">
        <f t="shared" si="9"/>
        <v/>
      </c>
      <c r="C117" s="8" t="str">
        <f>IF(D117="","",Master_Data!$C$3)</f>
        <v/>
      </c>
      <c r="D117" s="16"/>
      <c r="E117" s="16"/>
      <c r="F117" s="16"/>
      <c r="G117" s="17"/>
      <c r="H117" s="17"/>
      <c r="I117" s="17"/>
      <c r="J117" s="14" t="str">
        <f t="shared" si="10"/>
        <v/>
      </c>
      <c r="K117" s="15" t="str">
        <f t="shared" si="11"/>
        <v/>
      </c>
      <c r="L117" s="16"/>
    </row>
    <row r="118" spans="2:12" x14ac:dyDescent="0.25">
      <c r="B118" s="7" t="str">
        <f t="shared" si="9"/>
        <v/>
      </c>
      <c r="C118" s="8" t="str">
        <f>IF(D118="","",Master_Data!$C$3)</f>
        <v/>
      </c>
      <c r="D118" s="16"/>
      <c r="E118" s="16"/>
      <c r="F118" s="16"/>
      <c r="G118" s="17"/>
      <c r="H118" s="17"/>
      <c r="I118" s="17"/>
      <c r="J118" s="14" t="str">
        <f t="shared" si="10"/>
        <v/>
      </c>
      <c r="K118" s="15" t="str">
        <f t="shared" si="11"/>
        <v/>
      </c>
      <c r="L118" s="16"/>
    </row>
    <row r="119" spans="2:12" x14ac:dyDescent="0.25">
      <c r="B119" s="7" t="str">
        <f t="shared" si="9"/>
        <v/>
      </c>
      <c r="C119" s="8" t="str">
        <f>IF(D119="","",Master_Data!$C$3)</f>
        <v/>
      </c>
      <c r="D119" s="16"/>
      <c r="E119" s="16"/>
      <c r="F119" s="16"/>
      <c r="G119" s="17"/>
      <c r="H119" s="17"/>
      <c r="I119" s="17"/>
      <c r="J119" s="14" t="str">
        <f t="shared" si="10"/>
        <v/>
      </c>
      <c r="K119" s="15" t="str">
        <f t="shared" si="11"/>
        <v/>
      </c>
      <c r="L119" s="16"/>
    </row>
    <row r="120" spans="2:12" x14ac:dyDescent="0.25">
      <c r="B120" s="7" t="str">
        <f t="shared" si="9"/>
        <v/>
      </c>
      <c r="C120" s="8" t="str">
        <f>IF(D120="","",Master_Data!$C$3)</f>
        <v/>
      </c>
      <c r="D120" s="16"/>
      <c r="E120" s="16"/>
      <c r="F120" s="16"/>
      <c r="G120" s="17"/>
      <c r="H120" s="17"/>
      <c r="I120" s="17"/>
      <c r="J120" s="14" t="str">
        <f t="shared" si="10"/>
        <v/>
      </c>
      <c r="K120" s="15" t="str">
        <f t="shared" si="11"/>
        <v/>
      </c>
      <c r="L120" s="16"/>
    </row>
    <row r="121" spans="2:12" x14ac:dyDescent="0.25">
      <c r="B121" s="7" t="str">
        <f t="shared" si="9"/>
        <v/>
      </c>
      <c r="C121" s="8" t="str">
        <f>IF(D121="","",Master_Data!$C$3)</f>
        <v/>
      </c>
      <c r="D121" s="16"/>
      <c r="E121" s="16"/>
      <c r="F121" s="16"/>
      <c r="G121" s="17"/>
      <c r="H121" s="17"/>
      <c r="I121" s="17"/>
      <c r="J121" s="14" t="str">
        <f t="shared" si="10"/>
        <v/>
      </c>
      <c r="K121" s="15" t="str">
        <f t="shared" si="11"/>
        <v/>
      </c>
      <c r="L121" s="16"/>
    </row>
    <row r="122" spans="2:12" x14ac:dyDescent="0.25">
      <c r="B122" s="7" t="str">
        <f t="shared" si="9"/>
        <v/>
      </c>
      <c r="C122" s="8" t="str">
        <f>IF(D122="","",Master_Data!$C$3)</f>
        <v/>
      </c>
      <c r="D122" s="16"/>
      <c r="E122" s="16"/>
      <c r="F122" s="16"/>
      <c r="G122" s="17"/>
      <c r="H122" s="17"/>
      <c r="I122" s="17"/>
      <c r="J122" s="14" t="str">
        <f t="shared" si="10"/>
        <v/>
      </c>
      <c r="K122" s="15" t="str">
        <f t="shared" si="11"/>
        <v/>
      </c>
      <c r="L122" s="16"/>
    </row>
    <row r="123" spans="2:12" x14ac:dyDescent="0.25">
      <c r="B123" s="7" t="str">
        <f t="shared" si="9"/>
        <v/>
      </c>
      <c r="C123" s="8" t="str">
        <f>IF(D123="","",Master_Data!$C$3)</f>
        <v/>
      </c>
      <c r="D123" s="16"/>
      <c r="E123" s="16"/>
      <c r="F123" s="16"/>
      <c r="G123" s="17"/>
      <c r="H123" s="17"/>
      <c r="I123" s="17"/>
      <c r="J123" s="14" t="str">
        <f t="shared" si="10"/>
        <v/>
      </c>
      <c r="K123" s="15" t="str">
        <f t="shared" si="11"/>
        <v/>
      </c>
      <c r="L123" s="16"/>
    </row>
    <row r="124" spans="2:12" x14ac:dyDescent="0.25">
      <c r="B124" s="7" t="str">
        <f t="shared" si="9"/>
        <v/>
      </c>
      <c r="C124" s="8" t="str">
        <f>IF(D124="","",Master_Data!$C$3)</f>
        <v/>
      </c>
      <c r="D124" s="16"/>
      <c r="E124" s="16"/>
      <c r="F124" s="16"/>
      <c r="G124" s="17"/>
      <c r="H124" s="17"/>
      <c r="I124" s="17"/>
      <c r="J124" s="14" t="str">
        <f t="shared" si="10"/>
        <v/>
      </c>
      <c r="K124" s="15" t="str">
        <f t="shared" si="11"/>
        <v/>
      </c>
      <c r="L124" s="16"/>
    </row>
    <row r="125" spans="2:12" x14ac:dyDescent="0.25">
      <c r="B125" s="7" t="str">
        <f t="shared" si="9"/>
        <v/>
      </c>
      <c r="C125" s="8" t="str">
        <f>IF(D125="","",Master_Data!$C$3)</f>
        <v/>
      </c>
      <c r="D125" s="16"/>
      <c r="E125" s="16"/>
      <c r="F125" s="16"/>
      <c r="G125" s="17"/>
      <c r="H125" s="17"/>
      <c r="I125" s="17"/>
      <c r="J125" s="14" t="str">
        <f t="shared" si="10"/>
        <v/>
      </c>
      <c r="K125" s="15" t="str">
        <f t="shared" si="11"/>
        <v/>
      </c>
      <c r="L125" s="16"/>
    </row>
    <row r="126" spans="2:12" x14ac:dyDescent="0.25">
      <c r="B126" s="7" t="str">
        <f t="shared" si="9"/>
        <v/>
      </c>
      <c r="C126" s="8" t="str">
        <f>IF(D126="","",Master_Data!$C$3)</f>
        <v/>
      </c>
      <c r="D126" s="16"/>
      <c r="E126" s="16"/>
      <c r="F126" s="16"/>
      <c r="G126" s="17"/>
      <c r="H126" s="17"/>
      <c r="I126" s="17"/>
      <c r="J126" s="14" t="str">
        <f t="shared" si="10"/>
        <v/>
      </c>
      <c r="K126" s="15" t="str">
        <f t="shared" si="11"/>
        <v/>
      </c>
      <c r="L126" s="16"/>
    </row>
    <row r="127" spans="2:12" x14ac:dyDescent="0.25">
      <c r="B127" s="7" t="str">
        <f t="shared" si="9"/>
        <v/>
      </c>
      <c r="C127" s="8" t="str">
        <f>IF(D127="","",Master_Data!$C$3)</f>
        <v/>
      </c>
      <c r="D127" s="16"/>
      <c r="E127" s="16"/>
      <c r="F127" s="16"/>
      <c r="G127" s="17"/>
      <c r="H127" s="17"/>
      <c r="I127" s="17"/>
      <c r="J127" s="14" t="str">
        <f t="shared" si="10"/>
        <v/>
      </c>
      <c r="K127" s="15" t="str">
        <f t="shared" si="11"/>
        <v/>
      </c>
      <c r="L127" s="16"/>
    </row>
    <row r="128" spans="2:12" x14ac:dyDescent="0.25">
      <c r="B128" s="7" t="str">
        <f t="shared" si="9"/>
        <v/>
      </c>
      <c r="C128" s="8" t="str">
        <f>IF(D128="","",Master_Data!$C$3)</f>
        <v/>
      </c>
      <c r="D128" s="16"/>
      <c r="E128" s="16"/>
      <c r="F128" s="16"/>
      <c r="G128" s="17"/>
      <c r="H128" s="17"/>
      <c r="I128" s="17"/>
      <c r="J128" s="14" t="str">
        <f t="shared" si="10"/>
        <v/>
      </c>
      <c r="K128" s="15" t="str">
        <f t="shared" si="11"/>
        <v/>
      </c>
      <c r="L128" s="16"/>
    </row>
    <row r="129" spans="2:12" x14ac:dyDescent="0.25">
      <c r="B129" s="7" t="str">
        <f t="shared" si="9"/>
        <v/>
      </c>
      <c r="C129" s="8" t="str">
        <f>IF(D129="","",Master_Data!$C$3)</f>
        <v/>
      </c>
      <c r="D129" s="16"/>
      <c r="E129" s="16"/>
      <c r="F129" s="16"/>
      <c r="G129" s="17"/>
      <c r="H129" s="17"/>
      <c r="I129" s="17"/>
      <c r="J129" s="14" t="str">
        <f t="shared" si="10"/>
        <v/>
      </c>
      <c r="K129" s="15" t="str">
        <f t="shared" si="11"/>
        <v/>
      </c>
      <c r="L129" s="16"/>
    </row>
    <row r="130" spans="2:12" x14ac:dyDescent="0.25">
      <c r="B130" s="7" t="str">
        <f t="shared" si="9"/>
        <v/>
      </c>
      <c r="C130" s="8" t="str">
        <f>IF(D130="","",Master_Data!$C$3)</f>
        <v/>
      </c>
      <c r="D130" s="16"/>
      <c r="E130" s="16"/>
      <c r="F130" s="16"/>
      <c r="G130" s="17"/>
      <c r="H130" s="17"/>
      <c r="I130" s="17"/>
      <c r="J130" s="14" t="str">
        <f t="shared" si="10"/>
        <v/>
      </c>
      <c r="K130" s="15" t="str">
        <f t="shared" si="11"/>
        <v/>
      </c>
      <c r="L130" s="16"/>
    </row>
    <row r="131" spans="2:12" x14ac:dyDescent="0.25">
      <c r="B131" s="7" t="str">
        <f t="shared" si="9"/>
        <v/>
      </c>
      <c r="C131" s="8" t="str">
        <f>IF(D131="","",Master_Data!$C$3)</f>
        <v/>
      </c>
      <c r="D131" s="16"/>
      <c r="E131" s="16"/>
      <c r="F131" s="16"/>
      <c r="G131" s="17"/>
      <c r="H131" s="17"/>
      <c r="I131" s="17"/>
      <c r="J131" s="14" t="str">
        <f t="shared" si="10"/>
        <v/>
      </c>
      <c r="K131" s="15" t="str">
        <f t="shared" si="11"/>
        <v/>
      </c>
      <c r="L131" s="16"/>
    </row>
    <row r="132" spans="2:12" x14ac:dyDescent="0.25">
      <c r="B132" s="7" t="str">
        <f t="shared" si="9"/>
        <v/>
      </c>
      <c r="C132" s="8" t="str">
        <f>IF(D132="","",Master_Data!$C$3)</f>
        <v/>
      </c>
      <c r="D132" s="16"/>
      <c r="E132" s="16"/>
      <c r="F132" s="16"/>
      <c r="G132" s="17"/>
      <c r="H132" s="17"/>
      <c r="I132" s="17"/>
      <c r="J132" s="14" t="str">
        <f t="shared" si="10"/>
        <v/>
      </c>
      <c r="K132" s="15" t="str">
        <f t="shared" si="11"/>
        <v/>
      </c>
      <c r="L132" s="16"/>
    </row>
    <row r="133" spans="2:12" x14ac:dyDescent="0.25">
      <c r="B133" s="7" t="str">
        <f t="shared" ref="B133:B164" si="12">IF(D133="","",ROW()-5)</f>
        <v/>
      </c>
      <c r="C133" s="8" t="str">
        <f>IF(D133="","",Master_Data!$C$3)</f>
        <v/>
      </c>
      <c r="D133" s="16"/>
      <c r="E133" s="16"/>
      <c r="F133" s="16"/>
      <c r="G133" s="17"/>
      <c r="H133" s="17"/>
      <c r="I133" s="17"/>
      <c r="J133" s="14" t="str">
        <f t="shared" ref="J133:J164" si="13">IF(G133="","",IFERROR(G133-H133-I133,0))</f>
        <v/>
      </c>
      <c r="K133" s="15" t="str">
        <f t="shared" ref="K133:K164" si="14">IF(OR(G133="",G133=0),"",H133/G133)</f>
        <v/>
      </c>
      <c r="L133" s="16"/>
    </row>
    <row r="134" spans="2:12" x14ac:dyDescent="0.25">
      <c r="B134" s="7" t="str">
        <f t="shared" si="12"/>
        <v/>
      </c>
      <c r="C134" s="8" t="str">
        <f>IF(D134="","",Master_Data!$C$3)</f>
        <v/>
      </c>
      <c r="D134" s="16"/>
      <c r="E134" s="16"/>
      <c r="F134" s="16"/>
      <c r="G134" s="17"/>
      <c r="H134" s="17"/>
      <c r="I134" s="17"/>
      <c r="J134" s="14" t="str">
        <f t="shared" si="13"/>
        <v/>
      </c>
      <c r="K134" s="15" t="str">
        <f t="shared" si="14"/>
        <v/>
      </c>
      <c r="L134" s="16"/>
    </row>
    <row r="135" spans="2:12" x14ac:dyDescent="0.25">
      <c r="B135" s="7" t="str">
        <f t="shared" si="12"/>
        <v/>
      </c>
      <c r="C135" s="8" t="str">
        <f>IF(D135="","",Master_Data!$C$3)</f>
        <v/>
      </c>
      <c r="D135" s="16"/>
      <c r="E135" s="16"/>
      <c r="F135" s="16"/>
      <c r="G135" s="17"/>
      <c r="H135" s="17"/>
      <c r="I135" s="17"/>
      <c r="J135" s="14" t="str">
        <f t="shared" si="13"/>
        <v/>
      </c>
      <c r="K135" s="15" t="str">
        <f t="shared" si="14"/>
        <v/>
      </c>
      <c r="L135" s="16"/>
    </row>
    <row r="136" spans="2:12" x14ac:dyDescent="0.25">
      <c r="B136" s="7" t="str">
        <f t="shared" si="12"/>
        <v/>
      </c>
      <c r="C136" s="8" t="str">
        <f>IF(D136="","",Master_Data!$C$3)</f>
        <v/>
      </c>
      <c r="D136" s="16"/>
      <c r="E136" s="16"/>
      <c r="F136" s="16"/>
      <c r="G136" s="17"/>
      <c r="H136" s="17"/>
      <c r="I136" s="17"/>
      <c r="J136" s="14" t="str">
        <f t="shared" si="13"/>
        <v/>
      </c>
      <c r="K136" s="15" t="str">
        <f t="shared" si="14"/>
        <v/>
      </c>
      <c r="L136" s="16"/>
    </row>
    <row r="137" spans="2:12" x14ac:dyDescent="0.25">
      <c r="B137" s="7" t="str">
        <f t="shared" si="12"/>
        <v/>
      </c>
      <c r="C137" s="8" t="str">
        <f>IF(D137="","",Master_Data!$C$3)</f>
        <v/>
      </c>
      <c r="D137" s="16"/>
      <c r="E137" s="16"/>
      <c r="F137" s="16"/>
      <c r="G137" s="17"/>
      <c r="H137" s="17"/>
      <c r="I137" s="17"/>
      <c r="J137" s="14" t="str">
        <f t="shared" si="13"/>
        <v/>
      </c>
      <c r="K137" s="15" t="str">
        <f t="shared" si="14"/>
        <v/>
      </c>
      <c r="L137" s="16"/>
    </row>
    <row r="138" spans="2:12" x14ac:dyDescent="0.25">
      <c r="B138" s="7" t="str">
        <f t="shared" si="12"/>
        <v/>
      </c>
      <c r="C138" s="8" t="str">
        <f>IF(D138="","",Master_Data!$C$3)</f>
        <v/>
      </c>
      <c r="D138" s="16"/>
      <c r="E138" s="16"/>
      <c r="F138" s="16"/>
      <c r="G138" s="17"/>
      <c r="H138" s="17"/>
      <c r="I138" s="17"/>
      <c r="J138" s="14" t="str">
        <f t="shared" si="13"/>
        <v/>
      </c>
      <c r="K138" s="15" t="str">
        <f t="shared" si="14"/>
        <v/>
      </c>
      <c r="L138" s="16"/>
    </row>
    <row r="139" spans="2:12" x14ac:dyDescent="0.25">
      <c r="B139" s="7" t="str">
        <f t="shared" si="12"/>
        <v/>
      </c>
      <c r="C139" s="8" t="str">
        <f>IF(D139="","",Master_Data!$C$3)</f>
        <v/>
      </c>
      <c r="D139" s="16"/>
      <c r="E139" s="16"/>
      <c r="F139" s="16"/>
      <c r="G139" s="17"/>
      <c r="H139" s="17"/>
      <c r="I139" s="17"/>
      <c r="J139" s="14" t="str">
        <f t="shared" si="13"/>
        <v/>
      </c>
      <c r="K139" s="15" t="str">
        <f t="shared" si="14"/>
        <v/>
      </c>
      <c r="L139" s="16"/>
    </row>
    <row r="140" spans="2:12" x14ac:dyDescent="0.25">
      <c r="B140" s="7" t="str">
        <f t="shared" si="12"/>
        <v/>
      </c>
      <c r="C140" s="8" t="str">
        <f>IF(D140="","",Master_Data!$C$3)</f>
        <v/>
      </c>
      <c r="D140" s="16"/>
      <c r="E140" s="16"/>
      <c r="F140" s="16"/>
      <c r="G140" s="17"/>
      <c r="H140" s="17"/>
      <c r="I140" s="17"/>
      <c r="J140" s="14" t="str">
        <f t="shared" si="13"/>
        <v/>
      </c>
      <c r="K140" s="15" t="str">
        <f t="shared" si="14"/>
        <v/>
      </c>
      <c r="L140" s="16"/>
    </row>
    <row r="141" spans="2:12" x14ac:dyDescent="0.25">
      <c r="B141" s="7" t="str">
        <f t="shared" si="12"/>
        <v/>
      </c>
      <c r="C141" s="8" t="str">
        <f>IF(D141="","",Master_Data!$C$3)</f>
        <v/>
      </c>
      <c r="D141" s="16"/>
      <c r="E141" s="16"/>
      <c r="F141" s="16"/>
      <c r="G141" s="17"/>
      <c r="H141" s="17"/>
      <c r="I141" s="17"/>
      <c r="J141" s="14" t="str">
        <f t="shared" si="13"/>
        <v/>
      </c>
      <c r="K141" s="15" t="str">
        <f t="shared" si="14"/>
        <v/>
      </c>
      <c r="L141" s="16"/>
    </row>
    <row r="142" spans="2:12" x14ac:dyDescent="0.25">
      <c r="B142" s="7" t="str">
        <f t="shared" si="12"/>
        <v/>
      </c>
      <c r="C142" s="8" t="str">
        <f>IF(D142="","",Master_Data!$C$3)</f>
        <v/>
      </c>
      <c r="D142" s="16"/>
      <c r="E142" s="16"/>
      <c r="F142" s="16"/>
      <c r="G142" s="17"/>
      <c r="H142" s="17"/>
      <c r="I142" s="17"/>
      <c r="J142" s="14" t="str">
        <f t="shared" si="13"/>
        <v/>
      </c>
      <c r="K142" s="15" t="str">
        <f t="shared" si="14"/>
        <v/>
      </c>
      <c r="L142" s="16"/>
    </row>
    <row r="143" spans="2:12" x14ac:dyDescent="0.25">
      <c r="B143" s="7" t="str">
        <f t="shared" si="12"/>
        <v/>
      </c>
      <c r="C143" s="8" t="str">
        <f>IF(D143="","",Master_Data!$C$3)</f>
        <v/>
      </c>
      <c r="D143" s="16"/>
      <c r="E143" s="16"/>
      <c r="F143" s="16"/>
      <c r="G143" s="17"/>
      <c r="H143" s="17"/>
      <c r="I143" s="17"/>
      <c r="J143" s="14" t="str">
        <f t="shared" si="13"/>
        <v/>
      </c>
      <c r="K143" s="15" t="str">
        <f t="shared" si="14"/>
        <v/>
      </c>
      <c r="L143" s="16"/>
    </row>
    <row r="144" spans="2:12" x14ac:dyDescent="0.25">
      <c r="B144" s="7" t="str">
        <f t="shared" si="12"/>
        <v/>
      </c>
      <c r="C144" s="8" t="str">
        <f>IF(D144="","",Master_Data!$C$3)</f>
        <v/>
      </c>
      <c r="D144" s="16"/>
      <c r="E144" s="16"/>
      <c r="F144" s="16"/>
      <c r="G144" s="17"/>
      <c r="H144" s="17"/>
      <c r="I144" s="17"/>
      <c r="J144" s="14" t="str">
        <f t="shared" si="13"/>
        <v/>
      </c>
      <c r="K144" s="15" t="str">
        <f t="shared" si="14"/>
        <v/>
      </c>
      <c r="L144" s="16"/>
    </row>
    <row r="145" spans="2:12" x14ac:dyDescent="0.25">
      <c r="B145" s="7" t="str">
        <f t="shared" si="12"/>
        <v/>
      </c>
      <c r="C145" s="8" t="str">
        <f>IF(D145="","",Master_Data!$C$3)</f>
        <v/>
      </c>
      <c r="D145" s="16"/>
      <c r="E145" s="16"/>
      <c r="F145" s="16"/>
      <c r="G145" s="17"/>
      <c r="H145" s="17"/>
      <c r="I145" s="17"/>
      <c r="J145" s="14" t="str">
        <f t="shared" si="13"/>
        <v/>
      </c>
      <c r="K145" s="15" t="str">
        <f t="shared" si="14"/>
        <v/>
      </c>
      <c r="L145" s="16"/>
    </row>
    <row r="146" spans="2:12" x14ac:dyDescent="0.25">
      <c r="B146" s="7" t="str">
        <f t="shared" si="12"/>
        <v/>
      </c>
      <c r="C146" s="8" t="str">
        <f>IF(D146="","",Master_Data!$C$3)</f>
        <v/>
      </c>
      <c r="D146" s="16"/>
      <c r="E146" s="16"/>
      <c r="F146" s="16"/>
      <c r="G146" s="17"/>
      <c r="H146" s="17"/>
      <c r="I146" s="17"/>
      <c r="J146" s="14" t="str">
        <f t="shared" si="13"/>
        <v/>
      </c>
      <c r="K146" s="15" t="str">
        <f t="shared" si="14"/>
        <v/>
      </c>
      <c r="L146" s="16"/>
    </row>
    <row r="147" spans="2:12" x14ac:dyDescent="0.25">
      <c r="B147" s="7" t="str">
        <f t="shared" si="12"/>
        <v/>
      </c>
      <c r="C147" s="8" t="str">
        <f>IF(D147="","",Master_Data!$C$3)</f>
        <v/>
      </c>
      <c r="D147" s="16"/>
      <c r="E147" s="16"/>
      <c r="F147" s="16"/>
      <c r="G147" s="17"/>
      <c r="H147" s="17"/>
      <c r="I147" s="17"/>
      <c r="J147" s="14" t="str">
        <f t="shared" si="13"/>
        <v/>
      </c>
      <c r="K147" s="15" t="str">
        <f t="shared" si="14"/>
        <v/>
      </c>
      <c r="L147" s="16"/>
    </row>
    <row r="148" spans="2:12" x14ac:dyDescent="0.25">
      <c r="B148" s="7" t="str">
        <f t="shared" si="12"/>
        <v/>
      </c>
      <c r="C148" s="8" t="str">
        <f>IF(D148="","",Master_Data!$C$3)</f>
        <v/>
      </c>
      <c r="D148" s="16"/>
      <c r="E148" s="16"/>
      <c r="F148" s="16"/>
      <c r="G148" s="17"/>
      <c r="H148" s="17"/>
      <c r="I148" s="17"/>
      <c r="J148" s="14" t="str">
        <f t="shared" si="13"/>
        <v/>
      </c>
      <c r="K148" s="15" t="str">
        <f t="shared" si="14"/>
        <v/>
      </c>
      <c r="L148" s="16"/>
    </row>
    <row r="149" spans="2:12" x14ac:dyDescent="0.25">
      <c r="B149" s="7" t="str">
        <f t="shared" si="12"/>
        <v/>
      </c>
      <c r="C149" s="8" t="str">
        <f>IF(D149="","",Master_Data!$C$3)</f>
        <v/>
      </c>
      <c r="D149" s="16"/>
      <c r="E149" s="16"/>
      <c r="F149" s="16"/>
      <c r="G149" s="17"/>
      <c r="H149" s="17"/>
      <c r="I149" s="17"/>
      <c r="J149" s="14" t="str">
        <f t="shared" si="13"/>
        <v/>
      </c>
      <c r="K149" s="15" t="str">
        <f t="shared" si="14"/>
        <v/>
      </c>
      <c r="L149" s="16"/>
    </row>
    <row r="150" spans="2:12" x14ac:dyDescent="0.25">
      <c r="B150" s="7" t="str">
        <f t="shared" si="12"/>
        <v/>
      </c>
      <c r="C150" s="8" t="str">
        <f>IF(D150="","",Master_Data!$C$3)</f>
        <v/>
      </c>
      <c r="D150" s="16"/>
      <c r="E150" s="16"/>
      <c r="F150" s="16"/>
      <c r="G150" s="17"/>
      <c r="H150" s="17"/>
      <c r="I150" s="17"/>
      <c r="J150" s="14" t="str">
        <f t="shared" si="13"/>
        <v/>
      </c>
      <c r="K150" s="15" t="str">
        <f t="shared" si="14"/>
        <v/>
      </c>
      <c r="L150" s="16"/>
    </row>
    <row r="151" spans="2:12" x14ac:dyDescent="0.25">
      <c r="B151" s="7" t="str">
        <f t="shared" si="12"/>
        <v/>
      </c>
      <c r="C151" s="8" t="str">
        <f>IF(D151="","",Master_Data!$C$3)</f>
        <v/>
      </c>
      <c r="D151" s="16"/>
      <c r="E151" s="16"/>
      <c r="F151" s="16"/>
      <c r="G151" s="17"/>
      <c r="H151" s="17"/>
      <c r="I151" s="17"/>
      <c r="J151" s="14" t="str">
        <f t="shared" si="13"/>
        <v/>
      </c>
      <c r="K151" s="15" t="str">
        <f t="shared" si="14"/>
        <v/>
      </c>
      <c r="L151" s="16"/>
    </row>
    <row r="152" spans="2:12" x14ac:dyDescent="0.25">
      <c r="B152" s="7" t="str">
        <f t="shared" si="12"/>
        <v/>
      </c>
      <c r="C152" s="8" t="str">
        <f>IF(D152="","",Master_Data!$C$3)</f>
        <v/>
      </c>
      <c r="D152" s="16"/>
      <c r="E152" s="16"/>
      <c r="F152" s="16"/>
      <c r="G152" s="17"/>
      <c r="H152" s="17"/>
      <c r="I152" s="17"/>
      <c r="J152" s="14" t="str">
        <f t="shared" si="13"/>
        <v/>
      </c>
      <c r="K152" s="15" t="str">
        <f t="shared" si="14"/>
        <v/>
      </c>
      <c r="L152" s="16"/>
    </row>
    <row r="153" spans="2:12" x14ac:dyDescent="0.25">
      <c r="B153" s="7" t="str">
        <f t="shared" si="12"/>
        <v/>
      </c>
      <c r="C153" s="8" t="str">
        <f>IF(D153="","",Master_Data!$C$3)</f>
        <v/>
      </c>
      <c r="D153" s="16"/>
      <c r="E153" s="16"/>
      <c r="F153" s="16"/>
      <c r="G153" s="17"/>
      <c r="H153" s="17"/>
      <c r="I153" s="17"/>
      <c r="J153" s="14" t="str">
        <f t="shared" si="13"/>
        <v/>
      </c>
      <c r="K153" s="15" t="str">
        <f t="shared" si="14"/>
        <v/>
      </c>
      <c r="L153" s="16"/>
    </row>
    <row r="154" spans="2:12" x14ac:dyDescent="0.25">
      <c r="B154" s="7" t="str">
        <f t="shared" si="12"/>
        <v/>
      </c>
      <c r="C154" s="8" t="str">
        <f>IF(D154="","",Master_Data!$C$3)</f>
        <v/>
      </c>
      <c r="D154" s="16"/>
      <c r="E154" s="16"/>
      <c r="F154" s="16"/>
      <c r="G154" s="17"/>
      <c r="H154" s="17"/>
      <c r="I154" s="17"/>
      <c r="J154" s="14" t="str">
        <f t="shared" si="13"/>
        <v/>
      </c>
      <c r="K154" s="15" t="str">
        <f t="shared" si="14"/>
        <v/>
      </c>
      <c r="L154" s="16"/>
    </row>
    <row r="155" spans="2:12" x14ac:dyDescent="0.25">
      <c r="B155" s="7" t="str">
        <f t="shared" si="12"/>
        <v/>
      </c>
      <c r="C155" s="8" t="str">
        <f>IF(D155="","",Master_Data!$C$3)</f>
        <v/>
      </c>
      <c r="D155" s="16"/>
      <c r="E155" s="16"/>
      <c r="F155" s="16"/>
      <c r="G155" s="17"/>
      <c r="H155" s="17"/>
      <c r="I155" s="17"/>
      <c r="J155" s="14" t="str">
        <f t="shared" si="13"/>
        <v/>
      </c>
      <c r="K155" s="15" t="str">
        <f t="shared" si="14"/>
        <v/>
      </c>
      <c r="L155" s="16"/>
    </row>
    <row r="156" spans="2:12" x14ac:dyDescent="0.25">
      <c r="B156" s="7" t="str">
        <f t="shared" si="12"/>
        <v/>
      </c>
      <c r="C156" s="8" t="str">
        <f>IF(D156="","",Master_Data!$C$3)</f>
        <v/>
      </c>
      <c r="D156" s="16"/>
      <c r="E156" s="16"/>
      <c r="F156" s="16"/>
      <c r="G156" s="17"/>
      <c r="H156" s="17"/>
      <c r="I156" s="17"/>
      <c r="J156" s="14" t="str">
        <f t="shared" si="13"/>
        <v/>
      </c>
      <c r="K156" s="15" t="str">
        <f t="shared" si="14"/>
        <v/>
      </c>
      <c r="L156" s="16"/>
    </row>
    <row r="157" spans="2:12" x14ac:dyDescent="0.25">
      <c r="B157" s="7" t="str">
        <f t="shared" si="12"/>
        <v/>
      </c>
      <c r="C157" s="8" t="str">
        <f>IF(D157="","",Master_Data!$C$3)</f>
        <v/>
      </c>
      <c r="D157" s="16"/>
      <c r="E157" s="16"/>
      <c r="F157" s="16"/>
      <c r="G157" s="17"/>
      <c r="H157" s="17"/>
      <c r="I157" s="17"/>
      <c r="J157" s="14" t="str">
        <f t="shared" si="13"/>
        <v/>
      </c>
      <c r="K157" s="15" t="str">
        <f t="shared" si="14"/>
        <v/>
      </c>
      <c r="L157" s="16"/>
    </row>
    <row r="158" spans="2:12" x14ac:dyDescent="0.25">
      <c r="B158" s="7" t="str">
        <f t="shared" si="12"/>
        <v/>
      </c>
      <c r="C158" s="8" t="str">
        <f>IF(D158="","",Master_Data!$C$3)</f>
        <v/>
      </c>
      <c r="D158" s="16"/>
      <c r="E158" s="16"/>
      <c r="F158" s="16"/>
      <c r="G158" s="17"/>
      <c r="H158" s="17"/>
      <c r="I158" s="17"/>
      <c r="J158" s="14" t="str">
        <f t="shared" si="13"/>
        <v/>
      </c>
      <c r="K158" s="15" t="str">
        <f t="shared" si="14"/>
        <v/>
      </c>
      <c r="L158" s="16"/>
    </row>
    <row r="159" spans="2:12" x14ac:dyDescent="0.25">
      <c r="B159" s="7" t="str">
        <f t="shared" si="12"/>
        <v/>
      </c>
      <c r="C159" s="8" t="str">
        <f>IF(D159="","",Master_Data!$C$3)</f>
        <v/>
      </c>
      <c r="D159" s="16"/>
      <c r="E159" s="16"/>
      <c r="F159" s="16"/>
      <c r="G159" s="17"/>
      <c r="H159" s="17"/>
      <c r="I159" s="17"/>
      <c r="J159" s="14" t="str">
        <f t="shared" si="13"/>
        <v/>
      </c>
      <c r="K159" s="15" t="str">
        <f t="shared" si="14"/>
        <v/>
      </c>
      <c r="L159" s="16"/>
    </row>
    <row r="160" spans="2:12" x14ac:dyDescent="0.25">
      <c r="B160" s="7" t="str">
        <f t="shared" si="12"/>
        <v/>
      </c>
      <c r="C160" s="8" t="str">
        <f>IF(D160="","",Master_Data!$C$3)</f>
        <v/>
      </c>
      <c r="D160" s="16"/>
      <c r="E160" s="16"/>
      <c r="F160" s="16"/>
      <c r="G160" s="17"/>
      <c r="H160" s="17"/>
      <c r="I160" s="17"/>
      <c r="J160" s="14" t="str">
        <f t="shared" si="13"/>
        <v/>
      </c>
      <c r="K160" s="15" t="str">
        <f t="shared" si="14"/>
        <v/>
      </c>
      <c r="L160" s="16"/>
    </row>
    <row r="161" spans="2:12" x14ac:dyDescent="0.25">
      <c r="B161" s="7" t="str">
        <f t="shared" si="12"/>
        <v/>
      </c>
      <c r="C161" s="8" t="str">
        <f>IF(D161="","",Master_Data!$C$3)</f>
        <v/>
      </c>
      <c r="D161" s="16"/>
      <c r="E161" s="16"/>
      <c r="F161" s="16"/>
      <c r="G161" s="17"/>
      <c r="H161" s="17"/>
      <c r="I161" s="17"/>
      <c r="J161" s="14" t="str">
        <f t="shared" si="13"/>
        <v/>
      </c>
      <c r="K161" s="15" t="str">
        <f t="shared" si="14"/>
        <v/>
      </c>
      <c r="L161" s="16"/>
    </row>
    <row r="162" spans="2:12" x14ac:dyDescent="0.25">
      <c r="B162" s="7" t="str">
        <f t="shared" si="12"/>
        <v/>
      </c>
      <c r="C162" s="8" t="str">
        <f>IF(D162="","",Master_Data!$C$3)</f>
        <v/>
      </c>
      <c r="D162" s="16"/>
      <c r="E162" s="16"/>
      <c r="F162" s="16"/>
      <c r="G162" s="17"/>
      <c r="H162" s="17"/>
      <c r="I162" s="17"/>
      <c r="J162" s="14" t="str">
        <f t="shared" si="13"/>
        <v/>
      </c>
      <c r="K162" s="15" t="str">
        <f t="shared" si="14"/>
        <v/>
      </c>
      <c r="L162" s="16"/>
    </row>
    <row r="163" spans="2:12" x14ac:dyDescent="0.25">
      <c r="B163" s="7" t="str">
        <f t="shared" si="12"/>
        <v/>
      </c>
      <c r="C163" s="8" t="str">
        <f>IF(D163="","",Master_Data!$C$3)</f>
        <v/>
      </c>
      <c r="D163" s="16"/>
      <c r="E163" s="16"/>
      <c r="F163" s="16"/>
      <c r="G163" s="17"/>
      <c r="H163" s="17"/>
      <c r="I163" s="17"/>
      <c r="J163" s="14" t="str">
        <f t="shared" si="13"/>
        <v/>
      </c>
      <c r="K163" s="15" t="str">
        <f t="shared" si="14"/>
        <v/>
      </c>
      <c r="L163" s="16"/>
    </row>
    <row r="164" spans="2:12" x14ac:dyDescent="0.25">
      <c r="B164" s="7" t="str">
        <f t="shared" si="12"/>
        <v/>
      </c>
      <c r="C164" s="8" t="str">
        <f>IF(D164="","",Master_Data!$C$3)</f>
        <v/>
      </c>
      <c r="D164" s="16"/>
      <c r="E164" s="16"/>
      <c r="F164" s="16"/>
      <c r="G164" s="17"/>
      <c r="H164" s="17"/>
      <c r="I164" s="17"/>
      <c r="J164" s="14" t="str">
        <f t="shared" si="13"/>
        <v/>
      </c>
      <c r="K164" s="15" t="str">
        <f t="shared" si="14"/>
        <v/>
      </c>
      <c r="L164" s="16"/>
    </row>
    <row r="165" spans="2:12" x14ac:dyDescent="0.25">
      <c r="B165" s="7" t="str">
        <f t="shared" ref="B165:B196" si="15">IF(D165="","",ROW()-5)</f>
        <v/>
      </c>
      <c r="C165" s="8" t="str">
        <f>IF(D165="","",Master_Data!$C$3)</f>
        <v/>
      </c>
      <c r="D165" s="16"/>
      <c r="E165" s="16"/>
      <c r="F165" s="16"/>
      <c r="G165" s="17"/>
      <c r="H165" s="17"/>
      <c r="I165" s="17"/>
      <c r="J165" s="14" t="str">
        <f t="shared" ref="J165:J196" si="16">IF(G165="","",IFERROR(G165-H165-I165,0))</f>
        <v/>
      </c>
      <c r="K165" s="15" t="str">
        <f t="shared" ref="K165:K196" si="17">IF(OR(G165="",G165=0),"",H165/G165)</f>
        <v/>
      </c>
      <c r="L165" s="16"/>
    </row>
    <row r="166" spans="2:12" x14ac:dyDescent="0.25">
      <c r="B166" s="7" t="str">
        <f t="shared" si="15"/>
        <v/>
      </c>
      <c r="C166" s="8" t="str">
        <f>IF(D166="","",Master_Data!$C$3)</f>
        <v/>
      </c>
      <c r="D166" s="16"/>
      <c r="E166" s="16"/>
      <c r="F166" s="16"/>
      <c r="G166" s="17"/>
      <c r="H166" s="17"/>
      <c r="I166" s="17"/>
      <c r="J166" s="14" t="str">
        <f t="shared" si="16"/>
        <v/>
      </c>
      <c r="K166" s="15" t="str">
        <f t="shared" si="17"/>
        <v/>
      </c>
      <c r="L166" s="16"/>
    </row>
    <row r="167" spans="2:12" x14ac:dyDescent="0.25">
      <c r="B167" s="7" t="str">
        <f t="shared" si="15"/>
        <v/>
      </c>
      <c r="C167" s="8" t="str">
        <f>IF(D167="","",Master_Data!$C$3)</f>
        <v/>
      </c>
      <c r="D167" s="16"/>
      <c r="E167" s="16"/>
      <c r="F167" s="16"/>
      <c r="G167" s="17"/>
      <c r="H167" s="17"/>
      <c r="I167" s="17"/>
      <c r="J167" s="14" t="str">
        <f t="shared" si="16"/>
        <v/>
      </c>
      <c r="K167" s="15" t="str">
        <f t="shared" si="17"/>
        <v/>
      </c>
      <c r="L167" s="16"/>
    </row>
    <row r="168" spans="2:12" x14ac:dyDescent="0.25">
      <c r="B168" s="7" t="str">
        <f t="shared" si="15"/>
        <v/>
      </c>
      <c r="C168" s="8" t="str">
        <f>IF(D168="","",Master_Data!$C$3)</f>
        <v/>
      </c>
      <c r="D168" s="16"/>
      <c r="E168" s="16"/>
      <c r="F168" s="16"/>
      <c r="G168" s="17"/>
      <c r="H168" s="17"/>
      <c r="I168" s="17"/>
      <c r="J168" s="14" t="str">
        <f t="shared" si="16"/>
        <v/>
      </c>
      <c r="K168" s="15" t="str">
        <f t="shared" si="17"/>
        <v/>
      </c>
      <c r="L168" s="16"/>
    </row>
    <row r="169" spans="2:12" x14ac:dyDescent="0.25">
      <c r="B169" s="7" t="str">
        <f t="shared" si="15"/>
        <v/>
      </c>
      <c r="C169" s="8" t="str">
        <f>IF(D169="","",Master_Data!$C$3)</f>
        <v/>
      </c>
      <c r="D169" s="16"/>
      <c r="E169" s="16"/>
      <c r="F169" s="16"/>
      <c r="G169" s="17"/>
      <c r="H169" s="17"/>
      <c r="I169" s="17"/>
      <c r="J169" s="14" t="str">
        <f t="shared" si="16"/>
        <v/>
      </c>
      <c r="K169" s="15" t="str">
        <f t="shared" si="17"/>
        <v/>
      </c>
      <c r="L169" s="16"/>
    </row>
    <row r="170" spans="2:12" x14ac:dyDescent="0.25">
      <c r="B170" s="7" t="str">
        <f t="shared" si="15"/>
        <v/>
      </c>
      <c r="C170" s="8" t="str">
        <f>IF(D170="","",Master_Data!$C$3)</f>
        <v/>
      </c>
      <c r="D170" s="16"/>
      <c r="E170" s="16"/>
      <c r="F170" s="16"/>
      <c r="G170" s="17"/>
      <c r="H170" s="17"/>
      <c r="I170" s="17"/>
      <c r="J170" s="14" t="str">
        <f t="shared" si="16"/>
        <v/>
      </c>
      <c r="K170" s="15" t="str">
        <f t="shared" si="17"/>
        <v/>
      </c>
      <c r="L170" s="16"/>
    </row>
    <row r="171" spans="2:12" x14ac:dyDescent="0.25">
      <c r="B171" s="7" t="str">
        <f t="shared" si="15"/>
        <v/>
      </c>
      <c r="C171" s="8" t="str">
        <f>IF(D171="","",Master_Data!$C$3)</f>
        <v/>
      </c>
      <c r="D171" s="16"/>
      <c r="E171" s="16"/>
      <c r="F171" s="16"/>
      <c r="G171" s="17"/>
      <c r="H171" s="17"/>
      <c r="I171" s="17"/>
      <c r="J171" s="14" t="str">
        <f t="shared" si="16"/>
        <v/>
      </c>
      <c r="K171" s="15" t="str">
        <f t="shared" si="17"/>
        <v/>
      </c>
      <c r="L171" s="16"/>
    </row>
    <row r="172" spans="2:12" x14ac:dyDescent="0.25">
      <c r="B172" s="7" t="str">
        <f t="shared" si="15"/>
        <v/>
      </c>
      <c r="C172" s="8" t="str">
        <f>IF(D172="","",Master_Data!$C$3)</f>
        <v/>
      </c>
      <c r="D172" s="16"/>
      <c r="E172" s="16"/>
      <c r="F172" s="16"/>
      <c r="G172" s="17"/>
      <c r="H172" s="17"/>
      <c r="I172" s="17"/>
      <c r="J172" s="14" t="str">
        <f t="shared" si="16"/>
        <v/>
      </c>
      <c r="K172" s="15" t="str">
        <f t="shared" si="17"/>
        <v/>
      </c>
      <c r="L172" s="16"/>
    </row>
    <row r="173" spans="2:12" x14ac:dyDescent="0.25">
      <c r="B173" s="7" t="str">
        <f t="shared" si="15"/>
        <v/>
      </c>
      <c r="C173" s="8" t="str">
        <f>IF(D173="","",Master_Data!$C$3)</f>
        <v/>
      </c>
      <c r="D173" s="16"/>
      <c r="E173" s="16"/>
      <c r="F173" s="16"/>
      <c r="G173" s="17"/>
      <c r="H173" s="17"/>
      <c r="I173" s="17"/>
      <c r="J173" s="14" t="str">
        <f t="shared" si="16"/>
        <v/>
      </c>
      <c r="K173" s="15" t="str">
        <f t="shared" si="17"/>
        <v/>
      </c>
      <c r="L173" s="16"/>
    </row>
    <row r="174" spans="2:12" x14ac:dyDescent="0.25">
      <c r="B174" s="7" t="str">
        <f t="shared" si="15"/>
        <v/>
      </c>
      <c r="C174" s="8" t="str">
        <f>IF(D174="","",Master_Data!$C$3)</f>
        <v/>
      </c>
      <c r="D174" s="16"/>
      <c r="E174" s="16"/>
      <c r="F174" s="16"/>
      <c r="G174" s="17"/>
      <c r="H174" s="17"/>
      <c r="I174" s="17"/>
      <c r="J174" s="14" t="str">
        <f t="shared" si="16"/>
        <v/>
      </c>
      <c r="K174" s="15" t="str">
        <f t="shared" si="17"/>
        <v/>
      </c>
      <c r="L174" s="16"/>
    </row>
    <row r="175" spans="2:12" x14ac:dyDescent="0.25">
      <c r="B175" s="7" t="str">
        <f t="shared" si="15"/>
        <v/>
      </c>
      <c r="C175" s="8" t="str">
        <f>IF(D175="","",Master_Data!$C$3)</f>
        <v/>
      </c>
      <c r="D175" s="16"/>
      <c r="E175" s="16"/>
      <c r="F175" s="16"/>
      <c r="G175" s="17"/>
      <c r="H175" s="17"/>
      <c r="I175" s="17"/>
      <c r="J175" s="14" t="str">
        <f t="shared" si="16"/>
        <v/>
      </c>
      <c r="K175" s="15" t="str">
        <f t="shared" si="17"/>
        <v/>
      </c>
      <c r="L175" s="16"/>
    </row>
    <row r="176" spans="2:12" x14ac:dyDescent="0.25">
      <c r="B176" s="7" t="str">
        <f t="shared" si="15"/>
        <v/>
      </c>
      <c r="C176" s="8" t="str">
        <f>IF(D176="","",Master_Data!$C$3)</f>
        <v/>
      </c>
      <c r="D176" s="16"/>
      <c r="E176" s="16"/>
      <c r="F176" s="16"/>
      <c r="G176" s="17"/>
      <c r="H176" s="17"/>
      <c r="I176" s="17"/>
      <c r="J176" s="14" t="str">
        <f t="shared" si="16"/>
        <v/>
      </c>
      <c r="K176" s="15" t="str">
        <f t="shared" si="17"/>
        <v/>
      </c>
      <c r="L176" s="16"/>
    </row>
    <row r="177" spans="2:12" x14ac:dyDescent="0.25">
      <c r="B177" s="7" t="str">
        <f t="shared" si="15"/>
        <v/>
      </c>
      <c r="C177" s="8" t="str">
        <f>IF(D177="","",Master_Data!$C$3)</f>
        <v/>
      </c>
      <c r="D177" s="16"/>
      <c r="E177" s="16"/>
      <c r="F177" s="16"/>
      <c r="G177" s="17"/>
      <c r="H177" s="17"/>
      <c r="I177" s="17"/>
      <c r="J177" s="14" t="str">
        <f t="shared" si="16"/>
        <v/>
      </c>
      <c r="K177" s="15" t="str">
        <f t="shared" si="17"/>
        <v/>
      </c>
      <c r="L177" s="16"/>
    </row>
    <row r="178" spans="2:12" x14ac:dyDescent="0.25">
      <c r="B178" s="7" t="str">
        <f t="shared" si="15"/>
        <v/>
      </c>
      <c r="C178" s="8" t="str">
        <f>IF(D178="","",Master_Data!$C$3)</f>
        <v/>
      </c>
      <c r="D178" s="16"/>
      <c r="E178" s="16"/>
      <c r="F178" s="16"/>
      <c r="G178" s="17"/>
      <c r="H178" s="17"/>
      <c r="I178" s="17"/>
      <c r="J178" s="14" t="str">
        <f t="shared" si="16"/>
        <v/>
      </c>
      <c r="K178" s="15" t="str">
        <f t="shared" si="17"/>
        <v/>
      </c>
      <c r="L178" s="16"/>
    </row>
    <row r="179" spans="2:12" x14ac:dyDescent="0.25">
      <c r="B179" s="7" t="str">
        <f t="shared" si="15"/>
        <v/>
      </c>
      <c r="C179" s="8" t="str">
        <f>IF(D179="","",Master_Data!$C$3)</f>
        <v/>
      </c>
      <c r="D179" s="16"/>
      <c r="E179" s="16"/>
      <c r="F179" s="16"/>
      <c r="G179" s="17"/>
      <c r="H179" s="17"/>
      <c r="I179" s="17"/>
      <c r="J179" s="14" t="str">
        <f t="shared" si="16"/>
        <v/>
      </c>
      <c r="K179" s="15" t="str">
        <f t="shared" si="17"/>
        <v/>
      </c>
      <c r="L179" s="16"/>
    </row>
    <row r="180" spans="2:12" x14ac:dyDescent="0.25">
      <c r="B180" s="7" t="str">
        <f t="shared" si="15"/>
        <v/>
      </c>
      <c r="C180" s="8" t="str">
        <f>IF(D180="","",Master_Data!$C$3)</f>
        <v/>
      </c>
      <c r="D180" s="16"/>
      <c r="E180" s="16"/>
      <c r="F180" s="16"/>
      <c r="G180" s="17"/>
      <c r="H180" s="17"/>
      <c r="I180" s="17"/>
      <c r="J180" s="14" t="str">
        <f t="shared" si="16"/>
        <v/>
      </c>
      <c r="K180" s="15" t="str">
        <f t="shared" si="17"/>
        <v/>
      </c>
      <c r="L180" s="16"/>
    </row>
    <row r="181" spans="2:12" x14ac:dyDescent="0.25">
      <c r="B181" s="7" t="str">
        <f t="shared" si="15"/>
        <v/>
      </c>
      <c r="C181" s="8" t="str">
        <f>IF(D181="","",Master_Data!$C$3)</f>
        <v/>
      </c>
      <c r="D181" s="16"/>
      <c r="E181" s="16"/>
      <c r="F181" s="16"/>
      <c r="G181" s="17"/>
      <c r="H181" s="17"/>
      <c r="I181" s="17"/>
      <c r="J181" s="14" t="str">
        <f t="shared" si="16"/>
        <v/>
      </c>
      <c r="K181" s="15" t="str">
        <f t="shared" si="17"/>
        <v/>
      </c>
      <c r="L181" s="16"/>
    </row>
    <row r="182" spans="2:12" x14ac:dyDescent="0.25">
      <c r="B182" s="7" t="str">
        <f t="shared" si="15"/>
        <v/>
      </c>
      <c r="C182" s="8" t="str">
        <f>IF(D182="","",Master_Data!$C$3)</f>
        <v/>
      </c>
      <c r="D182" s="16"/>
      <c r="E182" s="16"/>
      <c r="F182" s="16"/>
      <c r="G182" s="17"/>
      <c r="H182" s="17"/>
      <c r="I182" s="17"/>
      <c r="J182" s="14" t="str">
        <f t="shared" si="16"/>
        <v/>
      </c>
      <c r="K182" s="15" t="str">
        <f t="shared" si="17"/>
        <v/>
      </c>
      <c r="L182" s="16"/>
    </row>
    <row r="183" spans="2:12" x14ac:dyDescent="0.25">
      <c r="B183" s="7" t="str">
        <f t="shared" si="15"/>
        <v/>
      </c>
      <c r="C183" s="8" t="str">
        <f>IF(D183="","",Master_Data!$C$3)</f>
        <v/>
      </c>
      <c r="D183" s="16"/>
      <c r="E183" s="16"/>
      <c r="F183" s="16"/>
      <c r="G183" s="17"/>
      <c r="H183" s="17"/>
      <c r="I183" s="17"/>
      <c r="J183" s="14" t="str">
        <f t="shared" si="16"/>
        <v/>
      </c>
      <c r="K183" s="15" t="str">
        <f t="shared" si="17"/>
        <v/>
      </c>
      <c r="L183" s="16"/>
    </row>
    <row r="184" spans="2:12" x14ac:dyDescent="0.25">
      <c r="B184" s="7" t="str">
        <f t="shared" si="15"/>
        <v/>
      </c>
      <c r="C184" s="8" t="str">
        <f>IF(D184="","",Master_Data!$C$3)</f>
        <v/>
      </c>
      <c r="D184" s="16"/>
      <c r="E184" s="16"/>
      <c r="F184" s="16"/>
      <c r="G184" s="17"/>
      <c r="H184" s="17"/>
      <c r="I184" s="17"/>
      <c r="J184" s="14" t="str">
        <f t="shared" si="16"/>
        <v/>
      </c>
      <c r="K184" s="15" t="str">
        <f t="shared" si="17"/>
        <v/>
      </c>
      <c r="L184" s="16"/>
    </row>
    <row r="185" spans="2:12" x14ac:dyDescent="0.25">
      <c r="B185" s="7" t="str">
        <f t="shared" si="15"/>
        <v/>
      </c>
      <c r="C185" s="8" t="str">
        <f>IF(D185="","",Master_Data!$C$3)</f>
        <v/>
      </c>
      <c r="D185" s="16"/>
      <c r="E185" s="16"/>
      <c r="F185" s="16"/>
      <c r="G185" s="17"/>
      <c r="H185" s="17"/>
      <c r="I185" s="17"/>
      <c r="J185" s="14" t="str">
        <f t="shared" si="16"/>
        <v/>
      </c>
      <c r="K185" s="15" t="str">
        <f t="shared" si="17"/>
        <v/>
      </c>
      <c r="L185" s="16"/>
    </row>
    <row r="186" spans="2:12" x14ac:dyDescent="0.25">
      <c r="B186" s="7" t="str">
        <f t="shared" si="15"/>
        <v/>
      </c>
      <c r="C186" s="8" t="str">
        <f>IF(D186="","",Master_Data!$C$3)</f>
        <v/>
      </c>
      <c r="D186" s="16"/>
      <c r="E186" s="16"/>
      <c r="F186" s="16"/>
      <c r="G186" s="17"/>
      <c r="H186" s="17"/>
      <c r="I186" s="17"/>
      <c r="J186" s="14" t="str">
        <f t="shared" si="16"/>
        <v/>
      </c>
      <c r="K186" s="15" t="str">
        <f t="shared" si="17"/>
        <v/>
      </c>
      <c r="L186" s="16"/>
    </row>
    <row r="187" spans="2:12" x14ac:dyDescent="0.25">
      <c r="B187" s="7" t="str">
        <f t="shared" si="15"/>
        <v/>
      </c>
      <c r="C187" s="8" t="str">
        <f>IF(D187="","",Master_Data!$C$3)</f>
        <v/>
      </c>
      <c r="D187" s="16"/>
      <c r="E187" s="16"/>
      <c r="F187" s="16"/>
      <c r="G187" s="17"/>
      <c r="H187" s="17"/>
      <c r="I187" s="17"/>
      <c r="J187" s="14" t="str">
        <f t="shared" si="16"/>
        <v/>
      </c>
      <c r="K187" s="15" t="str">
        <f t="shared" si="17"/>
        <v/>
      </c>
      <c r="L187" s="16"/>
    </row>
    <row r="188" spans="2:12" x14ac:dyDescent="0.25">
      <c r="B188" s="7" t="str">
        <f t="shared" si="15"/>
        <v/>
      </c>
      <c r="C188" s="8" t="str">
        <f>IF(D188="","",Master_Data!$C$3)</f>
        <v/>
      </c>
      <c r="D188" s="16"/>
      <c r="E188" s="16"/>
      <c r="F188" s="16"/>
      <c r="G188" s="17"/>
      <c r="H188" s="17"/>
      <c r="I188" s="17"/>
      <c r="J188" s="14" t="str">
        <f t="shared" si="16"/>
        <v/>
      </c>
      <c r="K188" s="15" t="str">
        <f t="shared" si="17"/>
        <v/>
      </c>
      <c r="L188" s="16"/>
    </row>
    <row r="189" spans="2:12" x14ac:dyDescent="0.25">
      <c r="B189" s="7" t="str">
        <f t="shared" si="15"/>
        <v/>
      </c>
      <c r="C189" s="8" t="str">
        <f>IF(D189="","",Master_Data!$C$3)</f>
        <v/>
      </c>
      <c r="D189" s="16"/>
      <c r="E189" s="16"/>
      <c r="F189" s="16"/>
      <c r="G189" s="17"/>
      <c r="H189" s="17"/>
      <c r="I189" s="17"/>
      <c r="J189" s="14" t="str">
        <f t="shared" si="16"/>
        <v/>
      </c>
      <c r="K189" s="15" t="str">
        <f t="shared" si="17"/>
        <v/>
      </c>
      <c r="L189" s="16"/>
    </row>
    <row r="190" spans="2:12" x14ac:dyDescent="0.25">
      <c r="B190" s="7" t="str">
        <f t="shared" si="15"/>
        <v/>
      </c>
      <c r="C190" s="8" t="str">
        <f>IF(D190="","",Master_Data!$C$3)</f>
        <v/>
      </c>
      <c r="D190" s="16"/>
      <c r="E190" s="16"/>
      <c r="F190" s="16"/>
      <c r="G190" s="17"/>
      <c r="H190" s="17"/>
      <c r="I190" s="17"/>
      <c r="J190" s="14" t="str">
        <f t="shared" si="16"/>
        <v/>
      </c>
      <c r="K190" s="15" t="str">
        <f t="shared" si="17"/>
        <v/>
      </c>
      <c r="L190" s="16"/>
    </row>
    <row r="191" spans="2:12" x14ac:dyDescent="0.25">
      <c r="B191" s="7" t="str">
        <f t="shared" si="15"/>
        <v/>
      </c>
      <c r="C191" s="8" t="str">
        <f>IF(D191="","",Master_Data!$C$3)</f>
        <v/>
      </c>
      <c r="D191" s="16"/>
      <c r="E191" s="16"/>
      <c r="F191" s="16"/>
      <c r="G191" s="17"/>
      <c r="H191" s="17"/>
      <c r="I191" s="17"/>
      <c r="J191" s="14" t="str">
        <f t="shared" si="16"/>
        <v/>
      </c>
      <c r="K191" s="15" t="str">
        <f t="shared" si="17"/>
        <v/>
      </c>
      <c r="L191" s="16"/>
    </row>
    <row r="192" spans="2:12" x14ac:dyDescent="0.25">
      <c r="B192" s="7" t="str">
        <f t="shared" si="15"/>
        <v/>
      </c>
      <c r="C192" s="8" t="str">
        <f>IF(D192="","",Master_Data!$C$3)</f>
        <v/>
      </c>
      <c r="D192" s="16"/>
      <c r="E192" s="16"/>
      <c r="F192" s="16"/>
      <c r="G192" s="17"/>
      <c r="H192" s="17"/>
      <c r="I192" s="17"/>
      <c r="J192" s="14" t="str">
        <f t="shared" si="16"/>
        <v/>
      </c>
      <c r="K192" s="15" t="str">
        <f t="shared" si="17"/>
        <v/>
      </c>
      <c r="L192" s="16"/>
    </row>
    <row r="193" spans="2:12" x14ac:dyDescent="0.25">
      <c r="B193" s="7" t="str">
        <f t="shared" si="15"/>
        <v/>
      </c>
      <c r="C193" s="8" t="str">
        <f>IF(D193="","",Master_Data!$C$3)</f>
        <v/>
      </c>
      <c r="D193" s="16"/>
      <c r="E193" s="16"/>
      <c r="F193" s="16"/>
      <c r="G193" s="17"/>
      <c r="H193" s="17"/>
      <c r="I193" s="17"/>
      <c r="J193" s="14" t="str">
        <f t="shared" si="16"/>
        <v/>
      </c>
      <c r="K193" s="15" t="str">
        <f t="shared" si="17"/>
        <v/>
      </c>
      <c r="L193" s="16"/>
    </row>
    <row r="194" spans="2:12" x14ac:dyDescent="0.25">
      <c r="B194" s="7" t="str">
        <f t="shared" si="15"/>
        <v/>
      </c>
      <c r="C194" s="8" t="str">
        <f>IF(D194="","",Master_Data!$C$3)</f>
        <v/>
      </c>
      <c r="D194" s="16"/>
      <c r="E194" s="16"/>
      <c r="F194" s="16"/>
      <c r="G194" s="17"/>
      <c r="H194" s="17"/>
      <c r="I194" s="17"/>
      <c r="J194" s="14" t="str">
        <f t="shared" si="16"/>
        <v/>
      </c>
      <c r="K194" s="15" t="str">
        <f t="shared" si="17"/>
        <v/>
      </c>
      <c r="L194" s="16"/>
    </row>
    <row r="195" spans="2:12" x14ac:dyDescent="0.25">
      <c r="B195" s="7" t="str">
        <f t="shared" si="15"/>
        <v/>
      </c>
      <c r="C195" s="8" t="str">
        <f>IF(D195="","",Master_Data!$C$3)</f>
        <v/>
      </c>
      <c r="D195" s="16"/>
      <c r="E195" s="16"/>
      <c r="F195" s="16"/>
      <c r="G195" s="17"/>
      <c r="H195" s="17"/>
      <c r="I195" s="17"/>
      <c r="J195" s="14" t="str">
        <f t="shared" si="16"/>
        <v/>
      </c>
      <c r="K195" s="15" t="str">
        <f t="shared" si="17"/>
        <v/>
      </c>
      <c r="L195" s="16"/>
    </row>
    <row r="196" spans="2:12" x14ac:dyDescent="0.25">
      <c r="B196" s="7" t="str">
        <f t="shared" si="15"/>
        <v/>
      </c>
      <c r="C196" s="8" t="str">
        <f>IF(D196="","",Master_Data!$C$3)</f>
        <v/>
      </c>
      <c r="D196" s="16"/>
      <c r="E196" s="16"/>
      <c r="F196" s="16"/>
      <c r="G196" s="17"/>
      <c r="H196" s="17"/>
      <c r="I196" s="17"/>
      <c r="J196" s="14" t="str">
        <f t="shared" si="16"/>
        <v/>
      </c>
      <c r="K196" s="15" t="str">
        <f t="shared" si="17"/>
        <v/>
      </c>
      <c r="L196" s="16"/>
    </row>
    <row r="197" spans="2:12" x14ac:dyDescent="0.25">
      <c r="B197" s="7" t="str">
        <f t="shared" ref="B197:B204" si="18">IF(D197="","",ROW()-5)</f>
        <v/>
      </c>
      <c r="C197" s="8" t="str">
        <f>IF(D197="","",Master_Data!$C$3)</f>
        <v/>
      </c>
      <c r="D197" s="16"/>
      <c r="E197" s="16"/>
      <c r="F197" s="16"/>
      <c r="G197" s="17"/>
      <c r="H197" s="17"/>
      <c r="I197" s="17"/>
      <c r="J197" s="14" t="str">
        <f t="shared" ref="J197:J204" si="19">IF(G197="","",IFERROR(G197-H197-I197,0))</f>
        <v/>
      </c>
      <c r="K197" s="15" t="str">
        <f t="shared" ref="K197:K204" si="20">IF(OR(G197="",G197=0),"",H197/G197)</f>
        <v/>
      </c>
      <c r="L197" s="16"/>
    </row>
    <row r="198" spans="2:12" x14ac:dyDescent="0.25">
      <c r="B198" s="7" t="str">
        <f t="shared" si="18"/>
        <v/>
      </c>
      <c r="C198" s="8" t="str">
        <f>IF(D198="","",Master_Data!$C$3)</f>
        <v/>
      </c>
      <c r="D198" s="16"/>
      <c r="E198" s="16"/>
      <c r="F198" s="16"/>
      <c r="G198" s="17"/>
      <c r="H198" s="17"/>
      <c r="I198" s="17"/>
      <c r="J198" s="14" t="str">
        <f t="shared" si="19"/>
        <v/>
      </c>
      <c r="K198" s="15" t="str">
        <f t="shared" si="20"/>
        <v/>
      </c>
      <c r="L198" s="16"/>
    </row>
    <row r="199" spans="2:12" x14ac:dyDescent="0.25">
      <c r="B199" s="7" t="str">
        <f t="shared" si="18"/>
        <v/>
      </c>
      <c r="C199" s="8" t="str">
        <f>IF(D199="","",Master_Data!$C$3)</f>
        <v/>
      </c>
      <c r="D199" s="16"/>
      <c r="E199" s="16"/>
      <c r="F199" s="16"/>
      <c r="G199" s="17"/>
      <c r="H199" s="17"/>
      <c r="I199" s="17"/>
      <c r="J199" s="14" t="str">
        <f t="shared" si="19"/>
        <v/>
      </c>
      <c r="K199" s="15" t="str">
        <f t="shared" si="20"/>
        <v/>
      </c>
      <c r="L199" s="16"/>
    </row>
    <row r="200" spans="2:12" x14ac:dyDescent="0.25">
      <c r="B200" s="7" t="str">
        <f t="shared" si="18"/>
        <v/>
      </c>
      <c r="C200" s="8" t="str">
        <f>IF(D200="","",Master_Data!$C$3)</f>
        <v/>
      </c>
      <c r="D200" s="16"/>
      <c r="E200" s="16"/>
      <c r="F200" s="16"/>
      <c r="G200" s="17"/>
      <c r="H200" s="17"/>
      <c r="I200" s="17"/>
      <c r="J200" s="14" t="str">
        <f t="shared" si="19"/>
        <v/>
      </c>
      <c r="K200" s="15" t="str">
        <f t="shared" si="20"/>
        <v/>
      </c>
      <c r="L200" s="16"/>
    </row>
    <row r="201" spans="2:12" x14ac:dyDescent="0.25">
      <c r="B201" s="7" t="str">
        <f t="shared" si="18"/>
        <v/>
      </c>
      <c r="C201" s="8" t="str">
        <f>IF(D201="","",Master_Data!$C$3)</f>
        <v/>
      </c>
      <c r="D201" s="16"/>
      <c r="E201" s="16"/>
      <c r="F201" s="16"/>
      <c r="G201" s="17"/>
      <c r="H201" s="17"/>
      <c r="I201" s="17"/>
      <c r="J201" s="14" t="str">
        <f t="shared" si="19"/>
        <v/>
      </c>
      <c r="K201" s="15" t="str">
        <f t="shared" si="20"/>
        <v/>
      </c>
      <c r="L201" s="16"/>
    </row>
    <row r="202" spans="2:12" x14ac:dyDescent="0.25">
      <c r="B202" s="7" t="str">
        <f t="shared" si="18"/>
        <v/>
      </c>
      <c r="C202" s="8" t="str">
        <f>IF(D202="","",Master_Data!$C$3)</f>
        <v/>
      </c>
      <c r="D202" s="16"/>
      <c r="E202" s="16"/>
      <c r="F202" s="16"/>
      <c r="G202" s="17"/>
      <c r="H202" s="17"/>
      <c r="I202" s="17"/>
      <c r="J202" s="14" t="str">
        <f t="shared" si="19"/>
        <v/>
      </c>
      <c r="K202" s="15" t="str">
        <f t="shared" si="20"/>
        <v/>
      </c>
      <c r="L202" s="16"/>
    </row>
    <row r="203" spans="2:12" x14ac:dyDescent="0.25">
      <c r="B203" s="7" t="str">
        <f t="shared" si="18"/>
        <v/>
      </c>
      <c r="C203" s="8" t="str">
        <f>IF(D203="","",Master_Data!$C$3)</f>
        <v/>
      </c>
      <c r="D203" s="16"/>
      <c r="E203" s="16"/>
      <c r="F203" s="16"/>
      <c r="G203" s="17"/>
      <c r="H203" s="17"/>
      <c r="I203" s="17"/>
      <c r="J203" s="14" t="str">
        <f t="shared" si="19"/>
        <v/>
      </c>
      <c r="K203" s="15" t="str">
        <f t="shared" si="20"/>
        <v/>
      </c>
      <c r="L203" s="16"/>
    </row>
    <row r="204" spans="2:12" x14ac:dyDescent="0.25">
      <c r="B204" s="7" t="str">
        <f t="shared" si="18"/>
        <v/>
      </c>
      <c r="C204" s="8" t="str">
        <f>IF(D204="","",Master_Data!$C$3)</f>
        <v/>
      </c>
      <c r="D204" s="16"/>
      <c r="E204" s="16"/>
      <c r="F204" s="16"/>
      <c r="G204" s="17"/>
      <c r="H204" s="17"/>
      <c r="I204" s="17"/>
      <c r="J204" s="14" t="str">
        <f t="shared" si="19"/>
        <v/>
      </c>
      <c r="K204" s="15" t="str">
        <f t="shared" si="20"/>
        <v/>
      </c>
      <c r="L204" s="16"/>
    </row>
    <row r="205" spans="2:12" ht="15" customHeight="1" x14ac:dyDescent="0.25">
      <c r="B205" s="44" t="s">
        <v>85</v>
      </c>
      <c r="C205" s="44"/>
      <c r="D205" s="44"/>
      <c r="E205" s="44"/>
      <c r="F205" s="44"/>
      <c r="G205" s="18">
        <f>SUM(G6:G204)</f>
        <v>198897466.40000001</v>
      </c>
      <c r="H205" s="18">
        <f>SUM(H6:H204)</f>
        <v>79515708.61999999</v>
      </c>
      <c r="I205" s="18">
        <f>SUM(I6:I204)</f>
        <v>10974325.970000001</v>
      </c>
      <c r="J205" s="18">
        <f>SUM(J6:J204)</f>
        <v>108407431.81</v>
      </c>
      <c r="K205" s="19">
        <f>IF(G205=0,0,H205/G205)</f>
        <v>0.39978241080299648</v>
      </c>
      <c r="L205" s="20"/>
    </row>
  </sheetData>
  <mergeCells count="3">
    <mergeCell ref="B2:K2"/>
    <mergeCell ref="B3:K3"/>
    <mergeCell ref="B205:F205"/>
  </mergeCells>
  <conditionalFormatting sqref="K6:K204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2">
    <dataValidation type="list" allowBlank="1" sqref="D6:D204" xr:uid="{00000000-0002-0000-0200-000000000000}">
      <formula1>Units</formula1>
      <formula2>0</formula2>
    </dataValidation>
    <dataValidation type="list" allowBlank="1" sqref="E6:E204" xr:uid="{00000000-0002-0000-0200-000001000000}">
      <formula1>IncomeCats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206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33" sqref="J33"/>
    </sheetView>
  </sheetViews>
  <sheetFormatPr defaultColWidth="8.7109375" defaultRowHeight="15" x14ac:dyDescent="0.25"/>
  <cols>
    <col min="1" max="1" width="2" customWidth="1"/>
    <col min="2" max="2" width="6" customWidth="1"/>
    <col min="3" max="3" width="12.7109375" customWidth="1"/>
    <col min="4" max="4" width="14" customWidth="1"/>
    <col min="5" max="5" width="32" customWidth="1"/>
    <col min="6" max="6" width="28" customWidth="1"/>
    <col min="7" max="9" width="16" customWidth="1"/>
    <col min="10" max="10" width="12" customWidth="1"/>
    <col min="11" max="11" width="18" customWidth="1"/>
  </cols>
  <sheetData>
    <row r="2" spans="2:11" ht="19.5" x14ac:dyDescent="0.25">
      <c r="B2" s="41" t="s">
        <v>86</v>
      </c>
      <c r="C2" s="41"/>
      <c r="D2" s="41"/>
      <c r="E2" s="41"/>
      <c r="F2" s="41"/>
      <c r="G2" s="41"/>
      <c r="H2" s="41"/>
      <c r="I2" s="41"/>
      <c r="J2" s="41"/>
    </row>
    <row r="3" spans="2:11" x14ac:dyDescent="0.25">
      <c r="B3" s="43" t="s">
        <v>87</v>
      </c>
      <c r="C3" s="43"/>
      <c r="D3" s="43"/>
      <c r="E3" s="43"/>
      <c r="F3" s="43"/>
      <c r="G3" s="43"/>
      <c r="H3" s="43"/>
      <c r="I3" s="43"/>
      <c r="J3" s="43"/>
    </row>
    <row r="5" spans="2:11" ht="36" customHeight="1" x14ac:dyDescent="0.25">
      <c r="B5" s="5" t="s">
        <v>72</v>
      </c>
      <c r="C5" s="5" t="s">
        <v>73</v>
      </c>
      <c r="D5" s="5" t="s">
        <v>46</v>
      </c>
      <c r="E5" s="5" t="s">
        <v>48</v>
      </c>
      <c r="F5" s="5" t="s">
        <v>74</v>
      </c>
      <c r="G5" s="5" t="s">
        <v>88</v>
      </c>
      <c r="H5" s="5" t="s">
        <v>89</v>
      </c>
      <c r="I5" s="5" t="s">
        <v>90</v>
      </c>
      <c r="J5" s="5" t="s">
        <v>91</v>
      </c>
      <c r="K5" s="5" t="s">
        <v>80</v>
      </c>
    </row>
    <row r="6" spans="2:11" x14ac:dyDescent="0.25">
      <c r="B6" s="7">
        <f t="shared" ref="B6:B37" si="0">IF(D6="","",ROW()-5)</f>
        <v>1</v>
      </c>
      <c r="C6" s="8">
        <f>IF(D6="","",Master_Data!$C$3)</f>
        <v>2569</v>
      </c>
      <c r="D6" s="9" t="s">
        <v>49</v>
      </c>
      <c r="E6" s="9" t="s">
        <v>51</v>
      </c>
      <c r="F6" s="10" t="s">
        <v>92</v>
      </c>
      <c r="G6" s="21">
        <v>5000000</v>
      </c>
      <c r="H6" s="22">
        <v>536651</v>
      </c>
      <c r="I6" s="14">
        <f>IF(G6="","",G6-H6)</f>
        <v>4463349</v>
      </c>
      <c r="J6" s="15">
        <f t="shared" ref="J6:J37" si="1">IF(OR(G6="",G6=0),"",H6/G6)</f>
        <v>0.1073302</v>
      </c>
      <c r="K6" s="16"/>
    </row>
    <row r="7" spans="2:11" x14ac:dyDescent="0.25">
      <c r="B7" s="7">
        <f t="shared" si="0"/>
        <v>2</v>
      </c>
      <c r="C7" s="8">
        <f>IF(D7="","",Master_Data!$C$3)</f>
        <v>2569</v>
      </c>
      <c r="D7" s="9" t="s">
        <v>49</v>
      </c>
      <c r="E7" s="9" t="s">
        <v>54</v>
      </c>
      <c r="F7" s="10" t="s">
        <v>93</v>
      </c>
      <c r="G7" s="21">
        <v>2281000</v>
      </c>
      <c r="H7" s="22">
        <v>1633133.5</v>
      </c>
      <c r="I7" s="14">
        <f t="shared" ref="I7:I37" si="2">IF(G7="","",G7-H7)</f>
        <v>647866.5</v>
      </c>
      <c r="J7" s="15">
        <f t="shared" si="1"/>
        <v>0.71597259973695748</v>
      </c>
      <c r="K7" s="16"/>
    </row>
    <row r="8" spans="2:11" x14ac:dyDescent="0.25">
      <c r="B8" s="7">
        <f t="shared" si="0"/>
        <v>3</v>
      </c>
      <c r="C8" s="8">
        <f>IF(D8="","",Master_Data!$C$3)</f>
        <v>2569</v>
      </c>
      <c r="D8" s="9" t="s">
        <v>49</v>
      </c>
      <c r="E8" s="9" t="s">
        <v>57</v>
      </c>
      <c r="F8" s="10" t="s">
        <v>94</v>
      </c>
      <c r="G8" s="21">
        <v>13923800</v>
      </c>
      <c r="H8" s="22">
        <v>6386315.9700000007</v>
      </c>
      <c r="I8" s="14">
        <f t="shared" si="2"/>
        <v>7537484.0299999993</v>
      </c>
      <c r="J8" s="15">
        <f t="shared" si="1"/>
        <v>0.45866185739525134</v>
      </c>
      <c r="K8" s="16"/>
    </row>
    <row r="9" spans="2:11" x14ac:dyDescent="0.25">
      <c r="B9" s="7">
        <f t="shared" si="0"/>
        <v>4</v>
      </c>
      <c r="C9" s="8">
        <f>IF(D9="","",Master_Data!$C$3)</f>
        <v>2569</v>
      </c>
      <c r="D9" s="9" t="s">
        <v>49</v>
      </c>
      <c r="E9" s="9" t="s">
        <v>59</v>
      </c>
      <c r="F9" s="10" t="s">
        <v>95</v>
      </c>
      <c r="G9" s="21">
        <v>3589000</v>
      </c>
      <c r="H9" s="22">
        <v>2871989.07</v>
      </c>
      <c r="I9" s="14">
        <f t="shared" si="2"/>
        <v>717010.93000000017</v>
      </c>
      <c r="J9" s="15">
        <f t="shared" si="1"/>
        <v>0.80021985789913619</v>
      </c>
      <c r="K9" s="16"/>
    </row>
    <row r="10" spans="2:11" x14ac:dyDescent="0.25">
      <c r="B10" s="7">
        <f t="shared" si="0"/>
        <v>5</v>
      </c>
      <c r="C10" s="8">
        <f>IF(D10="","",Master_Data!$C$3)</f>
        <v>2569</v>
      </c>
      <c r="D10" s="9" t="s">
        <v>49</v>
      </c>
      <c r="E10" s="9" t="s">
        <v>60</v>
      </c>
      <c r="F10" s="10" t="s">
        <v>96</v>
      </c>
      <c r="G10" s="21">
        <v>3886800</v>
      </c>
      <c r="H10" s="22">
        <v>3454521.94</v>
      </c>
      <c r="I10" s="14">
        <f t="shared" si="2"/>
        <v>432278.06000000006</v>
      </c>
      <c r="J10" s="15">
        <f t="shared" si="1"/>
        <v>0.888783045178553</v>
      </c>
      <c r="K10" s="16"/>
    </row>
    <row r="11" spans="2:11" x14ac:dyDescent="0.25">
      <c r="B11" s="7">
        <f t="shared" si="0"/>
        <v>6</v>
      </c>
      <c r="C11" s="8">
        <f>IF(D11="","",Master_Data!$C$3)</f>
        <v>2569</v>
      </c>
      <c r="D11" s="9" t="s">
        <v>49</v>
      </c>
      <c r="E11" s="9" t="s">
        <v>61</v>
      </c>
      <c r="F11" s="10" t="s">
        <v>97</v>
      </c>
      <c r="G11" s="21">
        <v>1417200</v>
      </c>
      <c r="H11" s="22">
        <v>1128400</v>
      </c>
      <c r="I11" s="14">
        <f t="shared" si="2"/>
        <v>288800</v>
      </c>
      <c r="J11" s="15">
        <f t="shared" si="1"/>
        <v>0.79621789443974034</v>
      </c>
      <c r="K11" s="16"/>
    </row>
    <row r="12" spans="2:11" x14ac:dyDescent="0.25">
      <c r="B12" s="7">
        <f t="shared" si="0"/>
        <v>7</v>
      </c>
      <c r="C12" s="8">
        <f>IF(D12="","",Master_Data!$C$3)</f>
        <v>2569</v>
      </c>
      <c r="D12" s="9" t="s">
        <v>49</v>
      </c>
      <c r="E12" s="9" t="s">
        <v>62</v>
      </c>
      <c r="F12" s="10" t="s">
        <v>98</v>
      </c>
      <c r="G12" s="21">
        <v>35358600</v>
      </c>
      <c r="H12" s="22">
        <v>17125151.799999997</v>
      </c>
      <c r="I12" s="14">
        <f t="shared" si="2"/>
        <v>18233448.200000003</v>
      </c>
      <c r="J12" s="15">
        <f t="shared" si="1"/>
        <v>0.48432776750210688</v>
      </c>
      <c r="K12" s="16"/>
    </row>
    <row r="13" spans="2:11" x14ac:dyDescent="0.25">
      <c r="B13" s="7">
        <f t="shared" si="0"/>
        <v>8</v>
      </c>
      <c r="C13" s="8">
        <f>IF(D13="","",Master_Data!$C$3)</f>
        <v>2569</v>
      </c>
      <c r="D13" s="9" t="s">
        <v>49</v>
      </c>
      <c r="E13" s="9" t="s">
        <v>63</v>
      </c>
      <c r="F13" s="10" t="s">
        <v>99</v>
      </c>
      <c r="G13" s="21">
        <v>3374000</v>
      </c>
      <c r="H13" s="22">
        <v>555254.03999999992</v>
      </c>
      <c r="I13" s="14">
        <f t="shared" si="2"/>
        <v>2818745.96</v>
      </c>
      <c r="J13" s="15">
        <f t="shared" si="1"/>
        <v>0.16456847658565499</v>
      </c>
      <c r="K13" s="16"/>
    </row>
    <row r="14" spans="2:11" x14ac:dyDescent="0.25">
      <c r="B14" s="7">
        <f t="shared" si="0"/>
        <v>9</v>
      </c>
      <c r="C14" s="8">
        <f>IF(D14="","",Master_Data!$C$3)</f>
        <v>2569</v>
      </c>
      <c r="D14" s="9" t="s">
        <v>49</v>
      </c>
      <c r="E14" s="9" t="s">
        <v>64</v>
      </c>
      <c r="F14" s="10" t="s">
        <v>100</v>
      </c>
      <c r="G14" s="21">
        <v>33660976</v>
      </c>
      <c r="H14" s="22">
        <v>12303669.59</v>
      </c>
      <c r="I14" s="14">
        <f t="shared" si="2"/>
        <v>21357306.41</v>
      </c>
      <c r="J14" s="15">
        <f t="shared" si="1"/>
        <v>0.36551731565953405</v>
      </c>
      <c r="K14" s="16"/>
    </row>
    <row r="15" spans="2:11" x14ac:dyDescent="0.25">
      <c r="B15" s="7">
        <f t="shared" si="0"/>
        <v>10</v>
      </c>
      <c r="C15" s="8">
        <f>IF(D15="","",Master_Data!$C$3)</f>
        <v>2569</v>
      </c>
      <c r="D15" s="9" t="s">
        <v>49</v>
      </c>
      <c r="E15" s="9" t="s">
        <v>65</v>
      </c>
      <c r="F15" s="10" t="s">
        <v>101</v>
      </c>
      <c r="G15" s="21">
        <v>7500000</v>
      </c>
      <c r="H15" s="22">
        <v>0</v>
      </c>
      <c r="I15" s="14">
        <f t="shared" si="2"/>
        <v>7500000</v>
      </c>
      <c r="J15" s="15">
        <f t="shared" si="1"/>
        <v>0</v>
      </c>
      <c r="K15" s="16"/>
    </row>
    <row r="16" spans="2:11" x14ac:dyDescent="0.25">
      <c r="B16" s="7">
        <f t="shared" si="0"/>
        <v>11</v>
      </c>
      <c r="C16" s="8">
        <f>IF(D16="","",Master_Data!$C$3)</f>
        <v>2569</v>
      </c>
      <c r="D16" s="9" t="s">
        <v>52</v>
      </c>
      <c r="E16" s="9" t="s">
        <v>66</v>
      </c>
      <c r="F16" s="10" t="s">
        <v>102</v>
      </c>
      <c r="G16" s="21">
        <v>2168000</v>
      </c>
      <c r="H16" s="37">
        <v>501060.05</v>
      </c>
      <c r="I16" s="14">
        <f t="shared" si="2"/>
        <v>1666939.95</v>
      </c>
      <c r="J16" s="15">
        <f t="shared" si="1"/>
        <v>0.23111625922509224</v>
      </c>
      <c r="K16" s="16"/>
    </row>
    <row r="17" spans="2:11" x14ac:dyDescent="0.25">
      <c r="B17" s="7">
        <f t="shared" si="0"/>
        <v>12</v>
      </c>
      <c r="C17" s="8">
        <f>IF(D17="","",Master_Data!$C$3)</f>
        <v>2569</v>
      </c>
      <c r="D17" s="9" t="s">
        <v>52</v>
      </c>
      <c r="E17" s="9" t="s">
        <v>67</v>
      </c>
      <c r="F17" s="10" t="s">
        <v>103</v>
      </c>
      <c r="G17" s="21">
        <v>49500000</v>
      </c>
      <c r="H17" s="37">
        <v>8723875.2599999998</v>
      </c>
      <c r="I17" s="14">
        <f t="shared" si="2"/>
        <v>40776124.740000002</v>
      </c>
      <c r="J17" s="15">
        <f t="shared" si="1"/>
        <v>0.17623990424242425</v>
      </c>
      <c r="K17" s="16"/>
    </row>
    <row r="18" spans="2:11" x14ac:dyDescent="0.25">
      <c r="B18" s="7">
        <f t="shared" si="0"/>
        <v>13</v>
      </c>
      <c r="C18" s="8">
        <f>IF(D18="","",Master_Data!$C$3)</f>
        <v>2569</v>
      </c>
      <c r="D18" s="9" t="s">
        <v>55</v>
      </c>
      <c r="E18" s="9" t="s">
        <v>68</v>
      </c>
      <c r="F18" s="10" t="s">
        <v>104</v>
      </c>
      <c r="G18" s="21">
        <v>15000000</v>
      </c>
      <c r="H18" s="37">
        <v>1031172.77</v>
      </c>
      <c r="I18" s="14">
        <f t="shared" si="2"/>
        <v>13968827.23</v>
      </c>
      <c r="J18" s="15">
        <f t="shared" si="1"/>
        <v>6.8744851333333329E-2</v>
      </c>
      <c r="K18" s="16"/>
    </row>
    <row r="19" spans="2:11" x14ac:dyDescent="0.25">
      <c r="B19" s="7" t="str">
        <f t="shared" si="0"/>
        <v/>
      </c>
      <c r="C19" s="8" t="str">
        <f>IF(D19="","",Master_Data!$C$3)</f>
        <v/>
      </c>
      <c r="D19" s="16"/>
      <c r="E19" s="16"/>
      <c r="F19" s="16"/>
      <c r="G19" s="17"/>
      <c r="H19" s="17"/>
      <c r="I19" s="14" t="str">
        <f t="shared" si="2"/>
        <v/>
      </c>
      <c r="J19" s="15" t="str">
        <f t="shared" si="1"/>
        <v/>
      </c>
      <c r="K19" s="16"/>
    </row>
    <row r="20" spans="2:11" x14ac:dyDescent="0.25">
      <c r="B20" s="7" t="str">
        <f t="shared" si="0"/>
        <v/>
      </c>
      <c r="C20" s="8" t="str">
        <f>IF(D20="","",Master_Data!$C$3)</f>
        <v/>
      </c>
      <c r="D20" s="16"/>
      <c r="E20" s="16"/>
      <c r="F20" s="16"/>
      <c r="G20" s="17"/>
      <c r="H20" s="17"/>
      <c r="I20" s="14" t="str">
        <f t="shared" si="2"/>
        <v/>
      </c>
      <c r="J20" s="15" t="str">
        <f t="shared" si="1"/>
        <v/>
      </c>
      <c r="K20" s="16"/>
    </row>
    <row r="21" spans="2:11" x14ac:dyDescent="0.25">
      <c r="B21" s="7" t="str">
        <f t="shared" si="0"/>
        <v/>
      </c>
      <c r="C21" s="8" t="str">
        <f>IF(D21="","",Master_Data!$C$3)</f>
        <v/>
      </c>
      <c r="D21" s="16"/>
      <c r="E21" s="16"/>
      <c r="F21" s="16"/>
      <c r="G21" s="17"/>
      <c r="H21" s="17"/>
      <c r="I21" s="14" t="str">
        <f t="shared" si="2"/>
        <v/>
      </c>
      <c r="J21" s="15" t="str">
        <f t="shared" si="1"/>
        <v/>
      </c>
      <c r="K21" s="16"/>
    </row>
    <row r="22" spans="2:11" x14ac:dyDescent="0.25">
      <c r="B22" s="7" t="str">
        <f t="shared" si="0"/>
        <v/>
      </c>
      <c r="C22" s="8" t="str">
        <f>IF(D22="","",Master_Data!$C$3)</f>
        <v/>
      </c>
      <c r="D22" s="16"/>
      <c r="E22" s="16"/>
      <c r="F22" s="16"/>
      <c r="G22" s="17"/>
      <c r="H22" s="17"/>
      <c r="I22" s="14" t="str">
        <f t="shared" si="2"/>
        <v/>
      </c>
      <c r="J22" s="15" t="str">
        <f t="shared" si="1"/>
        <v/>
      </c>
      <c r="K22" s="16"/>
    </row>
    <row r="23" spans="2:11" x14ac:dyDescent="0.25">
      <c r="B23" s="7" t="str">
        <f t="shared" si="0"/>
        <v/>
      </c>
      <c r="C23" s="8" t="str">
        <f>IF(D23="","",Master_Data!$C$3)</f>
        <v/>
      </c>
      <c r="D23" s="16"/>
      <c r="E23" s="16"/>
      <c r="F23" s="16"/>
      <c r="G23" s="17"/>
      <c r="H23" s="17"/>
      <c r="I23" s="14" t="str">
        <f t="shared" si="2"/>
        <v/>
      </c>
      <c r="J23" s="15" t="str">
        <f t="shared" si="1"/>
        <v/>
      </c>
      <c r="K23" s="16"/>
    </row>
    <row r="24" spans="2:11" x14ac:dyDescent="0.25">
      <c r="B24" s="7" t="str">
        <f t="shared" si="0"/>
        <v/>
      </c>
      <c r="C24" s="8" t="str">
        <f>IF(D24="","",Master_Data!$C$3)</f>
        <v/>
      </c>
      <c r="D24" s="16"/>
      <c r="E24" s="16"/>
      <c r="F24" s="16"/>
      <c r="G24" s="17"/>
      <c r="H24" s="17"/>
      <c r="I24" s="14" t="str">
        <f t="shared" si="2"/>
        <v/>
      </c>
      <c r="J24" s="15" t="str">
        <f t="shared" si="1"/>
        <v/>
      </c>
      <c r="K24" s="16"/>
    </row>
    <row r="25" spans="2:11" x14ac:dyDescent="0.25">
      <c r="B25" s="7" t="str">
        <f t="shared" si="0"/>
        <v/>
      </c>
      <c r="C25" s="8" t="str">
        <f>IF(D25="","",Master_Data!$C$3)</f>
        <v/>
      </c>
      <c r="D25" s="16"/>
      <c r="E25" s="16"/>
      <c r="F25" s="16"/>
      <c r="G25" s="17"/>
      <c r="H25" s="17"/>
      <c r="I25" s="14" t="str">
        <f t="shared" si="2"/>
        <v/>
      </c>
      <c r="J25" s="15" t="str">
        <f t="shared" si="1"/>
        <v/>
      </c>
      <c r="K25" s="16"/>
    </row>
    <row r="26" spans="2:11" x14ac:dyDescent="0.25">
      <c r="B26" s="7" t="str">
        <f t="shared" si="0"/>
        <v/>
      </c>
      <c r="C26" s="8" t="str">
        <f>IF(D26="","",Master_Data!$C$3)</f>
        <v/>
      </c>
      <c r="D26" s="16"/>
      <c r="E26" s="16"/>
      <c r="F26" s="16"/>
      <c r="G26" s="17"/>
      <c r="H26" s="17"/>
      <c r="I26" s="14" t="str">
        <f t="shared" si="2"/>
        <v/>
      </c>
      <c r="J26" s="15" t="str">
        <f t="shared" si="1"/>
        <v/>
      </c>
      <c r="K26" s="16"/>
    </row>
    <row r="27" spans="2:11" x14ac:dyDescent="0.25">
      <c r="B27" s="7" t="str">
        <f t="shared" si="0"/>
        <v/>
      </c>
      <c r="C27" s="8" t="str">
        <f>IF(D27="","",Master_Data!$C$3)</f>
        <v/>
      </c>
      <c r="D27" s="16"/>
      <c r="E27" s="16"/>
      <c r="F27" s="16"/>
      <c r="G27" s="17"/>
      <c r="H27" s="17"/>
      <c r="I27" s="14" t="str">
        <f t="shared" si="2"/>
        <v/>
      </c>
      <c r="J27" s="15" t="str">
        <f t="shared" si="1"/>
        <v/>
      </c>
      <c r="K27" s="16"/>
    </row>
    <row r="28" spans="2:11" x14ac:dyDescent="0.25">
      <c r="B28" s="7" t="str">
        <f t="shared" si="0"/>
        <v/>
      </c>
      <c r="C28" s="8" t="str">
        <f>IF(D28="","",Master_Data!$C$3)</f>
        <v/>
      </c>
      <c r="D28" s="16"/>
      <c r="E28" s="16"/>
      <c r="F28" s="16"/>
      <c r="G28" s="17"/>
      <c r="H28" s="17"/>
      <c r="I28" s="14" t="str">
        <f t="shared" si="2"/>
        <v/>
      </c>
      <c r="J28" s="15" t="str">
        <f t="shared" si="1"/>
        <v/>
      </c>
      <c r="K28" s="16"/>
    </row>
    <row r="29" spans="2:11" x14ac:dyDescent="0.25">
      <c r="B29" s="7" t="str">
        <f t="shared" si="0"/>
        <v/>
      </c>
      <c r="C29" s="8" t="str">
        <f>IF(D29="","",Master_Data!$C$3)</f>
        <v/>
      </c>
      <c r="D29" s="16"/>
      <c r="E29" s="16"/>
      <c r="F29" s="16"/>
      <c r="G29" s="17"/>
      <c r="H29" s="17"/>
      <c r="I29" s="14" t="str">
        <f t="shared" si="2"/>
        <v/>
      </c>
      <c r="J29" s="15" t="str">
        <f t="shared" si="1"/>
        <v/>
      </c>
      <c r="K29" s="16"/>
    </row>
    <row r="30" spans="2:11" x14ac:dyDescent="0.25">
      <c r="B30" s="7" t="str">
        <f t="shared" si="0"/>
        <v/>
      </c>
      <c r="C30" s="8" t="str">
        <f>IF(D30="","",Master_Data!$C$3)</f>
        <v/>
      </c>
      <c r="D30" s="16"/>
      <c r="E30" s="16"/>
      <c r="F30" s="16"/>
      <c r="G30" s="17"/>
      <c r="H30" s="17"/>
      <c r="I30" s="14" t="str">
        <f t="shared" si="2"/>
        <v/>
      </c>
      <c r="J30" s="15" t="str">
        <f t="shared" si="1"/>
        <v/>
      </c>
      <c r="K30" s="16"/>
    </row>
    <row r="31" spans="2:11" x14ac:dyDescent="0.25">
      <c r="B31" s="7" t="str">
        <f t="shared" si="0"/>
        <v/>
      </c>
      <c r="C31" s="8" t="str">
        <f>IF(D31="","",Master_Data!$C$3)</f>
        <v/>
      </c>
      <c r="D31" s="16"/>
      <c r="E31" s="16"/>
      <c r="F31" s="16"/>
      <c r="G31" s="17"/>
      <c r="H31" s="17"/>
      <c r="I31" s="14" t="str">
        <f t="shared" si="2"/>
        <v/>
      </c>
      <c r="J31" s="15" t="str">
        <f t="shared" si="1"/>
        <v/>
      </c>
      <c r="K31" s="16"/>
    </row>
    <row r="32" spans="2:11" x14ac:dyDescent="0.25">
      <c r="B32" s="7" t="str">
        <f t="shared" si="0"/>
        <v/>
      </c>
      <c r="C32" s="8" t="str">
        <f>IF(D32="","",Master_Data!$C$3)</f>
        <v/>
      </c>
      <c r="D32" s="16"/>
      <c r="E32" s="16"/>
      <c r="F32" s="16"/>
      <c r="G32" s="17"/>
      <c r="H32" s="17"/>
      <c r="I32" s="14" t="str">
        <f t="shared" si="2"/>
        <v/>
      </c>
      <c r="J32" s="15" t="str">
        <f t="shared" si="1"/>
        <v/>
      </c>
      <c r="K32" s="16"/>
    </row>
    <row r="33" spans="2:11" x14ac:dyDescent="0.25">
      <c r="B33" s="7" t="str">
        <f t="shared" si="0"/>
        <v/>
      </c>
      <c r="C33" s="8" t="str">
        <f>IF(D33="","",Master_Data!$C$3)</f>
        <v/>
      </c>
      <c r="D33" s="16"/>
      <c r="E33" s="16"/>
      <c r="F33" s="16"/>
      <c r="G33" s="17"/>
      <c r="H33" s="17"/>
      <c r="I33" s="14" t="str">
        <f t="shared" si="2"/>
        <v/>
      </c>
      <c r="J33" s="15" t="str">
        <f t="shared" si="1"/>
        <v/>
      </c>
      <c r="K33" s="16"/>
    </row>
    <row r="34" spans="2:11" x14ac:dyDescent="0.25">
      <c r="B34" s="7" t="str">
        <f t="shared" si="0"/>
        <v/>
      </c>
      <c r="C34" s="8" t="str">
        <f>IF(D34="","",Master_Data!$C$3)</f>
        <v/>
      </c>
      <c r="D34" s="16"/>
      <c r="E34" s="16"/>
      <c r="F34" s="16"/>
      <c r="G34" s="17"/>
      <c r="H34" s="17"/>
      <c r="I34" s="14" t="str">
        <f t="shared" si="2"/>
        <v/>
      </c>
      <c r="J34" s="15" t="str">
        <f t="shared" si="1"/>
        <v/>
      </c>
      <c r="K34" s="16"/>
    </row>
    <row r="35" spans="2:11" x14ac:dyDescent="0.25">
      <c r="B35" s="7" t="str">
        <f t="shared" si="0"/>
        <v/>
      </c>
      <c r="C35" s="8" t="str">
        <f>IF(D35="","",Master_Data!$C$3)</f>
        <v/>
      </c>
      <c r="D35" s="16"/>
      <c r="E35" s="16"/>
      <c r="F35" s="16"/>
      <c r="G35" s="17"/>
      <c r="H35" s="17"/>
      <c r="I35" s="14" t="str">
        <f t="shared" si="2"/>
        <v/>
      </c>
      <c r="J35" s="15" t="str">
        <f t="shared" si="1"/>
        <v/>
      </c>
      <c r="K35" s="16"/>
    </row>
    <row r="36" spans="2:11" x14ac:dyDescent="0.25">
      <c r="B36" s="7" t="str">
        <f t="shared" si="0"/>
        <v/>
      </c>
      <c r="C36" s="8" t="str">
        <f>IF(D36="","",Master_Data!$C$3)</f>
        <v/>
      </c>
      <c r="D36" s="16"/>
      <c r="E36" s="16"/>
      <c r="F36" s="16"/>
      <c r="G36" s="17"/>
      <c r="H36" s="17"/>
      <c r="I36" s="14" t="str">
        <f t="shared" si="2"/>
        <v/>
      </c>
      <c r="J36" s="15" t="str">
        <f t="shared" si="1"/>
        <v/>
      </c>
      <c r="K36" s="16"/>
    </row>
    <row r="37" spans="2:11" x14ac:dyDescent="0.25">
      <c r="B37" s="7" t="str">
        <f t="shared" si="0"/>
        <v/>
      </c>
      <c r="C37" s="8" t="str">
        <f>IF(D37="","",Master_Data!$C$3)</f>
        <v/>
      </c>
      <c r="D37" s="16"/>
      <c r="E37" s="16"/>
      <c r="F37" s="16"/>
      <c r="G37" s="17"/>
      <c r="H37" s="17"/>
      <c r="I37" s="14" t="str">
        <f t="shared" si="2"/>
        <v/>
      </c>
      <c r="J37" s="15" t="str">
        <f t="shared" si="1"/>
        <v/>
      </c>
      <c r="K37" s="16"/>
    </row>
    <row r="38" spans="2:11" x14ac:dyDescent="0.25">
      <c r="B38" s="7" t="str">
        <f t="shared" ref="B38:B69" si="3">IF(D38="","",ROW()-5)</f>
        <v/>
      </c>
      <c r="C38" s="8" t="str">
        <f>IF(D38="","",Master_Data!$C$3)</f>
        <v/>
      </c>
      <c r="D38" s="16"/>
      <c r="E38" s="16"/>
      <c r="F38" s="16"/>
      <c r="G38" s="17"/>
      <c r="H38" s="17"/>
      <c r="I38" s="14" t="str">
        <f t="shared" ref="I38:I69" si="4">IF(G38="","",G38-H38)</f>
        <v/>
      </c>
      <c r="J38" s="15" t="str">
        <f t="shared" ref="J38:J69" si="5">IF(OR(G38="",G38=0),"",H38/G38)</f>
        <v/>
      </c>
      <c r="K38" s="16"/>
    </row>
    <row r="39" spans="2:11" x14ac:dyDescent="0.25">
      <c r="B39" s="7" t="str">
        <f t="shared" si="3"/>
        <v/>
      </c>
      <c r="C39" s="8" t="str">
        <f>IF(D39="","",Master_Data!$C$3)</f>
        <v/>
      </c>
      <c r="D39" s="16"/>
      <c r="E39" s="16"/>
      <c r="F39" s="16"/>
      <c r="G39" s="17"/>
      <c r="H39" s="17"/>
      <c r="I39" s="14" t="str">
        <f t="shared" si="4"/>
        <v/>
      </c>
      <c r="J39" s="15" t="str">
        <f t="shared" si="5"/>
        <v/>
      </c>
      <c r="K39" s="16"/>
    </row>
    <row r="40" spans="2:11" x14ac:dyDescent="0.25">
      <c r="B40" s="7" t="str">
        <f t="shared" si="3"/>
        <v/>
      </c>
      <c r="C40" s="8" t="str">
        <f>IF(D40="","",Master_Data!$C$3)</f>
        <v/>
      </c>
      <c r="D40" s="16"/>
      <c r="E40" s="16"/>
      <c r="F40" s="16"/>
      <c r="G40" s="17"/>
      <c r="H40" s="17"/>
      <c r="I40" s="14" t="str">
        <f t="shared" si="4"/>
        <v/>
      </c>
      <c r="J40" s="15" t="str">
        <f t="shared" si="5"/>
        <v/>
      </c>
      <c r="K40" s="16"/>
    </row>
    <row r="41" spans="2:11" x14ac:dyDescent="0.25">
      <c r="B41" s="7" t="str">
        <f t="shared" si="3"/>
        <v/>
      </c>
      <c r="C41" s="8" t="str">
        <f>IF(D41="","",Master_Data!$C$3)</f>
        <v/>
      </c>
      <c r="D41" s="16"/>
      <c r="E41" s="16"/>
      <c r="F41" s="16"/>
      <c r="G41" s="17"/>
      <c r="H41" s="17"/>
      <c r="I41" s="14" t="str">
        <f t="shared" si="4"/>
        <v/>
      </c>
      <c r="J41" s="15" t="str">
        <f t="shared" si="5"/>
        <v/>
      </c>
      <c r="K41" s="16"/>
    </row>
    <row r="42" spans="2:11" x14ac:dyDescent="0.25">
      <c r="B42" s="7" t="str">
        <f t="shared" si="3"/>
        <v/>
      </c>
      <c r="C42" s="8" t="str">
        <f>IF(D42="","",Master_Data!$C$3)</f>
        <v/>
      </c>
      <c r="D42" s="16"/>
      <c r="E42" s="16"/>
      <c r="F42" s="16"/>
      <c r="G42" s="17"/>
      <c r="H42" s="17"/>
      <c r="I42" s="14" t="str">
        <f t="shared" si="4"/>
        <v/>
      </c>
      <c r="J42" s="15" t="str">
        <f t="shared" si="5"/>
        <v/>
      </c>
      <c r="K42" s="16"/>
    </row>
    <row r="43" spans="2:11" x14ac:dyDescent="0.25">
      <c r="B43" s="7" t="str">
        <f t="shared" si="3"/>
        <v/>
      </c>
      <c r="C43" s="8" t="str">
        <f>IF(D43="","",Master_Data!$C$3)</f>
        <v/>
      </c>
      <c r="D43" s="16"/>
      <c r="E43" s="16"/>
      <c r="F43" s="16"/>
      <c r="G43" s="17"/>
      <c r="H43" s="17"/>
      <c r="I43" s="14" t="str">
        <f t="shared" si="4"/>
        <v/>
      </c>
      <c r="J43" s="15" t="str">
        <f t="shared" si="5"/>
        <v/>
      </c>
      <c r="K43" s="16"/>
    </row>
    <row r="44" spans="2:11" x14ac:dyDescent="0.25">
      <c r="B44" s="7" t="str">
        <f t="shared" si="3"/>
        <v/>
      </c>
      <c r="C44" s="8" t="str">
        <f>IF(D44="","",Master_Data!$C$3)</f>
        <v/>
      </c>
      <c r="D44" s="16"/>
      <c r="E44" s="16"/>
      <c r="F44" s="16"/>
      <c r="G44" s="17"/>
      <c r="H44" s="17"/>
      <c r="I44" s="14" t="str">
        <f t="shared" si="4"/>
        <v/>
      </c>
      <c r="J44" s="15" t="str">
        <f t="shared" si="5"/>
        <v/>
      </c>
      <c r="K44" s="16"/>
    </row>
    <row r="45" spans="2:11" x14ac:dyDescent="0.25">
      <c r="B45" s="7" t="str">
        <f t="shared" si="3"/>
        <v/>
      </c>
      <c r="C45" s="8" t="str">
        <f>IF(D45="","",Master_Data!$C$3)</f>
        <v/>
      </c>
      <c r="D45" s="16"/>
      <c r="E45" s="16"/>
      <c r="F45" s="16"/>
      <c r="G45" s="17"/>
      <c r="H45" s="17"/>
      <c r="I45" s="14" t="str">
        <f t="shared" si="4"/>
        <v/>
      </c>
      <c r="J45" s="15" t="str">
        <f t="shared" si="5"/>
        <v/>
      </c>
      <c r="K45" s="16"/>
    </row>
    <row r="46" spans="2:11" x14ac:dyDescent="0.25">
      <c r="B46" s="7" t="str">
        <f t="shared" si="3"/>
        <v/>
      </c>
      <c r="C46" s="8" t="str">
        <f>IF(D46="","",Master_Data!$C$3)</f>
        <v/>
      </c>
      <c r="D46" s="16"/>
      <c r="E46" s="16"/>
      <c r="F46" s="16"/>
      <c r="G46" s="17"/>
      <c r="H46" s="17"/>
      <c r="I46" s="14" t="str">
        <f t="shared" si="4"/>
        <v/>
      </c>
      <c r="J46" s="15" t="str">
        <f t="shared" si="5"/>
        <v/>
      </c>
      <c r="K46" s="16"/>
    </row>
    <row r="47" spans="2:11" x14ac:dyDescent="0.25">
      <c r="B47" s="7" t="str">
        <f t="shared" si="3"/>
        <v/>
      </c>
      <c r="C47" s="8" t="str">
        <f>IF(D47="","",Master_Data!$C$3)</f>
        <v/>
      </c>
      <c r="D47" s="16"/>
      <c r="E47" s="16"/>
      <c r="F47" s="16"/>
      <c r="G47" s="17"/>
      <c r="H47" s="17"/>
      <c r="I47" s="14" t="str">
        <f t="shared" si="4"/>
        <v/>
      </c>
      <c r="J47" s="15" t="str">
        <f t="shared" si="5"/>
        <v/>
      </c>
      <c r="K47" s="16"/>
    </row>
    <row r="48" spans="2:11" x14ac:dyDescent="0.25">
      <c r="B48" s="7" t="str">
        <f t="shared" si="3"/>
        <v/>
      </c>
      <c r="C48" s="8" t="str">
        <f>IF(D48="","",Master_Data!$C$3)</f>
        <v/>
      </c>
      <c r="D48" s="16"/>
      <c r="E48" s="16"/>
      <c r="F48" s="16"/>
      <c r="G48" s="17"/>
      <c r="H48" s="17"/>
      <c r="I48" s="14" t="str">
        <f t="shared" si="4"/>
        <v/>
      </c>
      <c r="J48" s="15" t="str">
        <f t="shared" si="5"/>
        <v/>
      </c>
      <c r="K48" s="16"/>
    </row>
    <row r="49" spans="2:11" x14ac:dyDescent="0.25">
      <c r="B49" s="7" t="str">
        <f t="shared" si="3"/>
        <v/>
      </c>
      <c r="C49" s="8" t="str">
        <f>IF(D49="","",Master_Data!$C$3)</f>
        <v/>
      </c>
      <c r="D49" s="16"/>
      <c r="E49" s="16"/>
      <c r="F49" s="16"/>
      <c r="G49" s="17"/>
      <c r="H49" s="17"/>
      <c r="I49" s="14" t="str">
        <f t="shared" si="4"/>
        <v/>
      </c>
      <c r="J49" s="15" t="str">
        <f t="shared" si="5"/>
        <v/>
      </c>
      <c r="K49" s="16"/>
    </row>
    <row r="50" spans="2:11" x14ac:dyDescent="0.25">
      <c r="B50" s="7" t="str">
        <f t="shared" si="3"/>
        <v/>
      </c>
      <c r="C50" s="8" t="str">
        <f>IF(D50="","",Master_Data!$C$3)</f>
        <v/>
      </c>
      <c r="D50" s="16"/>
      <c r="E50" s="16"/>
      <c r="F50" s="16"/>
      <c r="G50" s="17"/>
      <c r="H50" s="17"/>
      <c r="I50" s="14" t="str">
        <f t="shared" si="4"/>
        <v/>
      </c>
      <c r="J50" s="15" t="str">
        <f t="shared" si="5"/>
        <v/>
      </c>
      <c r="K50" s="16"/>
    </row>
    <row r="51" spans="2:11" x14ac:dyDescent="0.25">
      <c r="B51" s="7" t="str">
        <f t="shared" si="3"/>
        <v/>
      </c>
      <c r="C51" s="8" t="str">
        <f>IF(D51="","",Master_Data!$C$3)</f>
        <v/>
      </c>
      <c r="D51" s="16"/>
      <c r="E51" s="16"/>
      <c r="F51" s="16"/>
      <c r="G51" s="17"/>
      <c r="H51" s="17"/>
      <c r="I51" s="14" t="str">
        <f t="shared" si="4"/>
        <v/>
      </c>
      <c r="J51" s="15" t="str">
        <f t="shared" si="5"/>
        <v/>
      </c>
      <c r="K51" s="16"/>
    </row>
    <row r="52" spans="2:11" x14ac:dyDescent="0.25">
      <c r="B52" s="7" t="str">
        <f t="shared" si="3"/>
        <v/>
      </c>
      <c r="C52" s="8" t="str">
        <f>IF(D52="","",Master_Data!$C$3)</f>
        <v/>
      </c>
      <c r="D52" s="16"/>
      <c r="E52" s="16"/>
      <c r="F52" s="16"/>
      <c r="G52" s="17"/>
      <c r="H52" s="17"/>
      <c r="I52" s="14" t="str">
        <f t="shared" si="4"/>
        <v/>
      </c>
      <c r="J52" s="15" t="str">
        <f t="shared" si="5"/>
        <v/>
      </c>
      <c r="K52" s="16"/>
    </row>
    <row r="53" spans="2:11" x14ac:dyDescent="0.25">
      <c r="B53" s="7" t="str">
        <f t="shared" si="3"/>
        <v/>
      </c>
      <c r="C53" s="8" t="str">
        <f>IF(D53="","",Master_Data!$C$3)</f>
        <v/>
      </c>
      <c r="D53" s="16"/>
      <c r="E53" s="16"/>
      <c r="F53" s="16"/>
      <c r="G53" s="17"/>
      <c r="H53" s="17"/>
      <c r="I53" s="14" t="str">
        <f t="shared" si="4"/>
        <v/>
      </c>
      <c r="J53" s="15" t="str">
        <f t="shared" si="5"/>
        <v/>
      </c>
      <c r="K53" s="16"/>
    </row>
    <row r="54" spans="2:11" x14ac:dyDescent="0.25">
      <c r="B54" s="7" t="str">
        <f t="shared" si="3"/>
        <v/>
      </c>
      <c r="C54" s="8" t="str">
        <f>IF(D54="","",Master_Data!$C$3)</f>
        <v/>
      </c>
      <c r="D54" s="16"/>
      <c r="E54" s="16"/>
      <c r="F54" s="16"/>
      <c r="G54" s="17"/>
      <c r="H54" s="17"/>
      <c r="I54" s="14" t="str">
        <f t="shared" si="4"/>
        <v/>
      </c>
      <c r="J54" s="15" t="str">
        <f t="shared" si="5"/>
        <v/>
      </c>
      <c r="K54" s="16"/>
    </row>
    <row r="55" spans="2:11" x14ac:dyDescent="0.25">
      <c r="B55" s="7" t="str">
        <f t="shared" si="3"/>
        <v/>
      </c>
      <c r="C55" s="8" t="str">
        <f>IF(D55="","",Master_Data!$C$3)</f>
        <v/>
      </c>
      <c r="D55" s="16"/>
      <c r="E55" s="16"/>
      <c r="F55" s="16"/>
      <c r="G55" s="17"/>
      <c r="H55" s="17"/>
      <c r="I55" s="14" t="str">
        <f t="shared" si="4"/>
        <v/>
      </c>
      <c r="J55" s="15" t="str">
        <f t="shared" si="5"/>
        <v/>
      </c>
      <c r="K55" s="16"/>
    </row>
    <row r="56" spans="2:11" x14ac:dyDescent="0.25">
      <c r="B56" s="7" t="str">
        <f t="shared" si="3"/>
        <v/>
      </c>
      <c r="C56" s="8" t="str">
        <f>IF(D56="","",Master_Data!$C$3)</f>
        <v/>
      </c>
      <c r="D56" s="16"/>
      <c r="E56" s="16"/>
      <c r="F56" s="16"/>
      <c r="G56" s="17"/>
      <c r="H56" s="17"/>
      <c r="I56" s="14" t="str">
        <f t="shared" si="4"/>
        <v/>
      </c>
      <c r="J56" s="15" t="str">
        <f t="shared" si="5"/>
        <v/>
      </c>
      <c r="K56" s="16"/>
    </row>
    <row r="57" spans="2:11" x14ac:dyDescent="0.25">
      <c r="B57" s="7" t="str">
        <f t="shared" si="3"/>
        <v/>
      </c>
      <c r="C57" s="8" t="str">
        <f>IF(D57="","",Master_Data!$C$3)</f>
        <v/>
      </c>
      <c r="D57" s="16"/>
      <c r="E57" s="16"/>
      <c r="F57" s="16"/>
      <c r="G57" s="17"/>
      <c r="H57" s="17"/>
      <c r="I57" s="14" t="str">
        <f t="shared" si="4"/>
        <v/>
      </c>
      <c r="J57" s="15" t="str">
        <f t="shared" si="5"/>
        <v/>
      </c>
      <c r="K57" s="16"/>
    </row>
    <row r="58" spans="2:11" x14ac:dyDescent="0.25">
      <c r="B58" s="7" t="str">
        <f t="shared" si="3"/>
        <v/>
      </c>
      <c r="C58" s="8" t="str">
        <f>IF(D58="","",Master_Data!$C$3)</f>
        <v/>
      </c>
      <c r="D58" s="16"/>
      <c r="E58" s="16"/>
      <c r="F58" s="16"/>
      <c r="G58" s="17"/>
      <c r="H58" s="17"/>
      <c r="I58" s="14" t="str">
        <f t="shared" si="4"/>
        <v/>
      </c>
      <c r="J58" s="15" t="str">
        <f t="shared" si="5"/>
        <v/>
      </c>
      <c r="K58" s="16"/>
    </row>
    <row r="59" spans="2:11" x14ac:dyDescent="0.25">
      <c r="B59" s="7" t="str">
        <f t="shared" si="3"/>
        <v/>
      </c>
      <c r="C59" s="8" t="str">
        <f>IF(D59="","",Master_Data!$C$3)</f>
        <v/>
      </c>
      <c r="D59" s="16"/>
      <c r="E59" s="16"/>
      <c r="F59" s="16"/>
      <c r="G59" s="17"/>
      <c r="H59" s="17"/>
      <c r="I59" s="14" t="str">
        <f t="shared" si="4"/>
        <v/>
      </c>
      <c r="J59" s="15" t="str">
        <f t="shared" si="5"/>
        <v/>
      </c>
      <c r="K59" s="16"/>
    </row>
    <row r="60" spans="2:11" x14ac:dyDescent="0.25">
      <c r="B60" s="7" t="str">
        <f t="shared" si="3"/>
        <v/>
      </c>
      <c r="C60" s="8" t="str">
        <f>IF(D60="","",Master_Data!$C$3)</f>
        <v/>
      </c>
      <c r="D60" s="16"/>
      <c r="E60" s="16"/>
      <c r="F60" s="16"/>
      <c r="G60" s="17"/>
      <c r="H60" s="17"/>
      <c r="I60" s="14" t="str">
        <f t="shared" si="4"/>
        <v/>
      </c>
      <c r="J60" s="15" t="str">
        <f t="shared" si="5"/>
        <v/>
      </c>
      <c r="K60" s="16"/>
    </row>
    <row r="61" spans="2:11" x14ac:dyDescent="0.25">
      <c r="B61" s="7" t="str">
        <f t="shared" si="3"/>
        <v/>
      </c>
      <c r="C61" s="8" t="str">
        <f>IF(D61="","",Master_Data!$C$3)</f>
        <v/>
      </c>
      <c r="D61" s="16"/>
      <c r="E61" s="16"/>
      <c r="F61" s="16"/>
      <c r="G61" s="17"/>
      <c r="H61" s="17"/>
      <c r="I61" s="14" t="str">
        <f t="shared" si="4"/>
        <v/>
      </c>
      <c r="J61" s="15" t="str">
        <f t="shared" si="5"/>
        <v/>
      </c>
      <c r="K61" s="16"/>
    </row>
    <row r="62" spans="2:11" x14ac:dyDescent="0.25">
      <c r="B62" s="7" t="str">
        <f t="shared" si="3"/>
        <v/>
      </c>
      <c r="C62" s="8" t="str">
        <f>IF(D62="","",Master_Data!$C$3)</f>
        <v/>
      </c>
      <c r="D62" s="16"/>
      <c r="E62" s="16"/>
      <c r="F62" s="16"/>
      <c r="G62" s="17"/>
      <c r="H62" s="17"/>
      <c r="I62" s="14" t="str">
        <f t="shared" si="4"/>
        <v/>
      </c>
      <c r="J62" s="15" t="str">
        <f t="shared" si="5"/>
        <v/>
      </c>
      <c r="K62" s="16"/>
    </row>
    <row r="63" spans="2:11" x14ac:dyDescent="0.25">
      <c r="B63" s="7" t="str">
        <f t="shared" si="3"/>
        <v/>
      </c>
      <c r="C63" s="8" t="str">
        <f>IF(D63="","",Master_Data!$C$3)</f>
        <v/>
      </c>
      <c r="D63" s="16"/>
      <c r="E63" s="16"/>
      <c r="F63" s="16"/>
      <c r="G63" s="17"/>
      <c r="H63" s="17"/>
      <c r="I63" s="14" t="str">
        <f t="shared" si="4"/>
        <v/>
      </c>
      <c r="J63" s="15" t="str">
        <f t="shared" si="5"/>
        <v/>
      </c>
      <c r="K63" s="16"/>
    </row>
    <row r="64" spans="2:11" x14ac:dyDescent="0.25">
      <c r="B64" s="7" t="str">
        <f t="shared" si="3"/>
        <v/>
      </c>
      <c r="C64" s="8" t="str">
        <f>IF(D64="","",Master_Data!$C$3)</f>
        <v/>
      </c>
      <c r="D64" s="16"/>
      <c r="E64" s="16"/>
      <c r="F64" s="16"/>
      <c r="G64" s="17"/>
      <c r="H64" s="17"/>
      <c r="I64" s="14" t="str">
        <f t="shared" si="4"/>
        <v/>
      </c>
      <c r="J64" s="15" t="str">
        <f t="shared" si="5"/>
        <v/>
      </c>
      <c r="K64" s="16"/>
    </row>
    <row r="65" spans="2:11" x14ac:dyDescent="0.25">
      <c r="B65" s="7" t="str">
        <f t="shared" si="3"/>
        <v/>
      </c>
      <c r="C65" s="8" t="str">
        <f>IF(D65="","",Master_Data!$C$3)</f>
        <v/>
      </c>
      <c r="D65" s="16"/>
      <c r="E65" s="16"/>
      <c r="F65" s="16"/>
      <c r="G65" s="17"/>
      <c r="H65" s="17"/>
      <c r="I65" s="14" t="str">
        <f t="shared" si="4"/>
        <v/>
      </c>
      <c r="J65" s="15" t="str">
        <f t="shared" si="5"/>
        <v/>
      </c>
      <c r="K65" s="16"/>
    </row>
    <row r="66" spans="2:11" x14ac:dyDescent="0.25">
      <c r="B66" s="7" t="str">
        <f t="shared" si="3"/>
        <v/>
      </c>
      <c r="C66" s="8" t="str">
        <f>IF(D66="","",Master_Data!$C$3)</f>
        <v/>
      </c>
      <c r="D66" s="16"/>
      <c r="E66" s="16"/>
      <c r="F66" s="16"/>
      <c r="G66" s="17"/>
      <c r="H66" s="17"/>
      <c r="I66" s="14" t="str">
        <f t="shared" si="4"/>
        <v/>
      </c>
      <c r="J66" s="15" t="str">
        <f t="shared" si="5"/>
        <v/>
      </c>
      <c r="K66" s="16"/>
    </row>
    <row r="67" spans="2:11" x14ac:dyDescent="0.25">
      <c r="B67" s="7" t="str">
        <f t="shared" si="3"/>
        <v/>
      </c>
      <c r="C67" s="8" t="str">
        <f>IF(D67="","",Master_Data!$C$3)</f>
        <v/>
      </c>
      <c r="D67" s="16"/>
      <c r="E67" s="16"/>
      <c r="F67" s="16"/>
      <c r="G67" s="17"/>
      <c r="H67" s="17"/>
      <c r="I67" s="14" t="str">
        <f t="shared" si="4"/>
        <v/>
      </c>
      <c r="J67" s="15" t="str">
        <f t="shared" si="5"/>
        <v/>
      </c>
      <c r="K67" s="16"/>
    </row>
    <row r="68" spans="2:11" x14ac:dyDescent="0.25">
      <c r="B68" s="7" t="str">
        <f t="shared" si="3"/>
        <v/>
      </c>
      <c r="C68" s="8" t="str">
        <f>IF(D68="","",Master_Data!$C$3)</f>
        <v/>
      </c>
      <c r="D68" s="16"/>
      <c r="E68" s="16"/>
      <c r="F68" s="16"/>
      <c r="G68" s="17"/>
      <c r="H68" s="17"/>
      <c r="I68" s="14" t="str">
        <f t="shared" si="4"/>
        <v/>
      </c>
      <c r="J68" s="15" t="str">
        <f t="shared" si="5"/>
        <v/>
      </c>
      <c r="K68" s="16"/>
    </row>
    <row r="69" spans="2:11" x14ac:dyDescent="0.25">
      <c r="B69" s="7" t="str">
        <f t="shared" si="3"/>
        <v/>
      </c>
      <c r="C69" s="8" t="str">
        <f>IF(D69="","",Master_Data!$C$3)</f>
        <v/>
      </c>
      <c r="D69" s="16"/>
      <c r="E69" s="16"/>
      <c r="F69" s="16"/>
      <c r="G69" s="17"/>
      <c r="H69" s="17"/>
      <c r="I69" s="14" t="str">
        <f t="shared" si="4"/>
        <v/>
      </c>
      <c r="J69" s="15" t="str">
        <f t="shared" si="5"/>
        <v/>
      </c>
      <c r="K69" s="16"/>
    </row>
    <row r="70" spans="2:11" x14ac:dyDescent="0.25">
      <c r="B70" s="7" t="str">
        <f t="shared" ref="B70:B101" si="6">IF(D70="","",ROW()-5)</f>
        <v/>
      </c>
      <c r="C70" s="8" t="str">
        <f>IF(D70="","",Master_Data!$C$3)</f>
        <v/>
      </c>
      <c r="D70" s="16"/>
      <c r="E70" s="16"/>
      <c r="F70" s="16"/>
      <c r="G70" s="17"/>
      <c r="H70" s="17"/>
      <c r="I70" s="14" t="str">
        <f t="shared" ref="I70:I101" si="7">IF(G70="","",G70-H70)</f>
        <v/>
      </c>
      <c r="J70" s="15" t="str">
        <f t="shared" ref="J70:J101" si="8">IF(OR(G70="",G70=0),"",H70/G70)</f>
        <v/>
      </c>
      <c r="K70" s="16"/>
    </row>
    <row r="71" spans="2:11" x14ac:dyDescent="0.25">
      <c r="B71" s="7" t="str">
        <f t="shared" si="6"/>
        <v/>
      </c>
      <c r="C71" s="8" t="str">
        <f>IF(D71="","",Master_Data!$C$3)</f>
        <v/>
      </c>
      <c r="D71" s="16"/>
      <c r="E71" s="16"/>
      <c r="F71" s="16"/>
      <c r="G71" s="17"/>
      <c r="H71" s="17"/>
      <c r="I71" s="14" t="str">
        <f t="shared" si="7"/>
        <v/>
      </c>
      <c r="J71" s="15" t="str">
        <f t="shared" si="8"/>
        <v/>
      </c>
      <c r="K71" s="16"/>
    </row>
    <row r="72" spans="2:11" x14ac:dyDescent="0.25">
      <c r="B72" s="7" t="str">
        <f t="shared" si="6"/>
        <v/>
      </c>
      <c r="C72" s="8" t="str">
        <f>IF(D72="","",Master_Data!$C$3)</f>
        <v/>
      </c>
      <c r="D72" s="16"/>
      <c r="E72" s="16"/>
      <c r="F72" s="16"/>
      <c r="G72" s="17"/>
      <c r="H72" s="17"/>
      <c r="I72" s="14" t="str">
        <f t="shared" si="7"/>
        <v/>
      </c>
      <c r="J72" s="15" t="str">
        <f t="shared" si="8"/>
        <v/>
      </c>
      <c r="K72" s="16"/>
    </row>
    <row r="73" spans="2:11" x14ac:dyDescent="0.25">
      <c r="B73" s="7" t="str">
        <f t="shared" si="6"/>
        <v/>
      </c>
      <c r="C73" s="8" t="str">
        <f>IF(D73="","",Master_Data!$C$3)</f>
        <v/>
      </c>
      <c r="D73" s="16"/>
      <c r="E73" s="16"/>
      <c r="F73" s="16"/>
      <c r="G73" s="17"/>
      <c r="H73" s="17"/>
      <c r="I73" s="14" t="str">
        <f t="shared" si="7"/>
        <v/>
      </c>
      <c r="J73" s="15" t="str">
        <f t="shared" si="8"/>
        <v/>
      </c>
      <c r="K73" s="16"/>
    </row>
    <row r="74" spans="2:11" x14ac:dyDescent="0.25">
      <c r="B74" s="7" t="str">
        <f t="shared" si="6"/>
        <v/>
      </c>
      <c r="C74" s="8" t="str">
        <f>IF(D74="","",Master_Data!$C$3)</f>
        <v/>
      </c>
      <c r="D74" s="16"/>
      <c r="E74" s="16"/>
      <c r="F74" s="16"/>
      <c r="G74" s="17"/>
      <c r="H74" s="17"/>
      <c r="I74" s="14" t="str">
        <f t="shared" si="7"/>
        <v/>
      </c>
      <c r="J74" s="15" t="str">
        <f t="shared" si="8"/>
        <v/>
      </c>
      <c r="K74" s="16"/>
    </row>
    <row r="75" spans="2:11" x14ac:dyDescent="0.25">
      <c r="B75" s="7" t="str">
        <f t="shared" si="6"/>
        <v/>
      </c>
      <c r="C75" s="8" t="str">
        <f>IF(D75="","",Master_Data!$C$3)</f>
        <v/>
      </c>
      <c r="D75" s="16"/>
      <c r="E75" s="16"/>
      <c r="F75" s="16"/>
      <c r="G75" s="17"/>
      <c r="H75" s="17"/>
      <c r="I75" s="14" t="str">
        <f t="shared" si="7"/>
        <v/>
      </c>
      <c r="J75" s="15" t="str">
        <f t="shared" si="8"/>
        <v/>
      </c>
      <c r="K75" s="16"/>
    </row>
    <row r="76" spans="2:11" x14ac:dyDescent="0.25">
      <c r="B76" s="7" t="str">
        <f t="shared" si="6"/>
        <v/>
      </c>
      <c r="C76" s="8" t="str">
        <f>IF(D76="","",Master_Data!$C$3)</f>
        <v/>
      </c>
      <c r="D76" s="16"/>
      <c r="E76" s="16"/>
      <c r="F76" s="16"/>
      <c r="G76" s="17"/>
      <c r="H76" s="17"/>
      <c r="I76" s="14" t="str">
        <f t="shared" si="7"/>
        <v/>
      </c>
      <c r="J76" s="15" t="str">
        <f t="shared" si="8"/>
        <v/>
      </c>
      <c r="K76" s="16"/>
    </row>
    <row r="77" spans="2:11" x14ac:dyDescent="0.25">
      <c r="B77" s="7" t="str">
        <f t="shared" si="6"/>
        <v/>
      </c>
      <c r="C77" s="8" t="str">
        <f>IF(D77="","",Master_Data!$C$3)</f>
        <v/>
      </c>
      <c r="D77" s="16"/>
      <c r="E77" s="16"/>
      <c r="F77" s="16"/>
      <c r="G77" s="17"/>
      <c r="H77" s="17"/>
      <c r="I77" s="14" t="str">
        <f t="shared" si="7"/>
        <v/>
      </c>
      <c r="J77" s="15" t="str">
        <f t="shared" si="8"/>
        <v/>
      </c>
      <c r="K77" s="16"/>
    </row>
    <row r="78" spans="2:11" x14ac:dyDescent="0.25">
      <c r="B78" s="7" t="str">
        <f t="shared" si="6"/>
        <v/>
      </c>
      <c r="C78" s="8" t="str">
        <f>IF(D78="","",Master_Data!$C$3)</f>
        <v/>
      </c>
      <c r="D78" s="16"/>
      <c r="E78" s="16"/>
      <c r="F78" s="16"/>
      <c r="G78" s="17"/>
      <c r="H78" s="17"/>
      <c r="I78" s="14" t="str">
        <f t="shared" si="7"/>
        <v/>
      </c>
      <c r="J78" s="15" t="str">
        <f t="shared" si="8"/>
        <v/>
      </c>
      <c r="K78" s="16"/>
    </row>
    <row r="79" spans="2:11" x14ac:dyDescent="0.25">
      <c r="B79" s="7" t="str">
        <f t="shared" si="6"/>
        <v/>
      </c>
      <c r="C79" s="8" t="str">
        <f>IF(D79="","",Master_Data!$C$3)</f>
        <v/>
      </c>
      <c r="D79" s="16"/>
      <c r="E79" s="16"/>
      <c r="F79" s="16"/>
      <c r="G79" s="17"/>
      <c r="H79" s="17"/>
      <c r="I79" s="14" t="str">
        <f t="shared" si="7"/>
        <v/>
      </c>
      <c r="J79" s="15" t="str">
        <f t="shared" si="8"/>
        <v/>
      </c>
      <c r="K79" s="16"/>
    </row>
    <row r="80" spans="2:11" x14ac:dyDescent="0.25">
      <c r="B80" s="7" t="str">
        <f t="shared" si="6"/>
        <v/>
      </c>
      <c r="C80" s="8" t="str">
        <f>IF(D80="","",Master_Data!$C$3)</f>
        <v/>
      </c>
      <c r="D80" s="16"/>
      <c r="E80" s="16"/>
      <c r="F80" s="16"/>
      <c r="G80" s="17"/>
      <c r="H80" s="17"/>
      <c r="I80" s="14" t="str">
        <f t="shared" si="7"/>
        <v/>
      </c>
      <c r="J80" s="15" t="str">
        <f t="shared" si="8"/>
        <v/>
      </c>
      <c r="K80" s="16"/>
    </row>
    <row r="81" spans="2:11" x14ac:dyDescent="0.25">
      <c r="B81" s="7" t="str">
        <f t="shared" si="6"/>
        <v/>
      </c>
      <c r="C81" s="8" t="str">
        <f>IF(D81="","",Master_Data!$C$3)</f>
        <v/>
      </c>
      <c r="D81" s="16"/>
      <c r="E81" s="16"/>
      <c r="F81" s="16"/>
      <c r="G81" s="17"/>
      <c r="H81" s="17"/>
      <c r="I81" s="14" t="str">
        <f t="shared" si="7"/>
        <v/>
      </c>
      <c r="J81" s="15" t="str">
        <f t="shared" si="8"/>
        <v/>
      </c>
      <c r="K81" s="16"/>
    </row>
    <row r="82" spans="2:11" x14ac:dyDescent="0.25">
      <c r="B82" s="7" t="str">
        <f t="shared" si="6"/>
        <v/>
      </c>
      <c r="C82" s="8" t="str">
        <f>IF(D82="","",Master_Data!$C$3)</f>
        <v/>
      </c>
      <c r="D82" s="16"/>
      <c r="E82" s="16"/>
      <c r="F82" s="16"/>
      <c r="G82" s="17"/>
      <c r="H82" s="17"/>
      <c r="I82" s="14" t="str">
        <f t="shared" si="7"/>
        <v/>
      </c>
      <c r="J82" s="15" t="str">
        <f t="shared" si="8"/>
        <v/>
      </c>
      <c r="K82" s="16"/>
    </row>
    <row r="83" spans="2:11" x14ac:dyDescent="0.25">
      <c r="B83" s="7" t="str">
        <f t="shared" si="6"/>
        <v/>
      </c>
      <c r="C83" s="8" t="str">
        <f>IF(D83="","",Master_Data!$C$3)</f>
        <v/>
      </c>
      <c r="D83" s="16"/>
      <c r="E83" s="16"/>
      <c r="F83" s="16"/>
      <c r="G83" s="17"/>
      <c r="H83" s="17"/>
      <c r="I83" s="14" t="str">
        <f t="shared" si="7"/>
        <v/>
      </c>
      <c r="J83" s="15" t="str">
        <f t="shared" si="8"/>
        <v/>
      </c>
      <c r="K83" s="16"/>
    </row>
    <row r="84" spans="2:11" x14ac:dyDescent="0.25">
      <c r="B84" s="7" t="str">
        <f t="shared" si="6"/>
        <v/>
      </c>
      <c r="C84" s="8" t="str">
        <f>IF(D84="","",Master_Data!$C$3)</f>
        <v/>
      </c>
      <c r="D84" s="16"/>
      <c r="E84" s="16"/>
      <c r="F84" s="16"/>
      <c r="G84" s="17"/>
      <c r="H84" s="17"/>
      <c r="I84" s="14" t="str">
        <f t="shared" si="7"/>
        <v/>
      </c>
      <c r="J84" s="15" t="str">
        <f t="shared" si="8"/>
        <v/>
      </c>
      <c r="K84" s="16"/>
    </row>
    <row r="85" spans="2:11" x14ac:dyDescent="0.25">
      <c r="B85" s="7" t="str">
        <f t="shared" si="6"/>
        <v/>
      </c>
      <c r="C85" s="8" t="str">
        <f>IF(D85="","",Master_Data!$C$3)</f>
        <v/>
      </c>
      <c r="D85" s="16"/>
      <c r="E85" s="16"/>
      <c r="F85" s="16"/>
      <c r="G85" s="17"/>
      <c r="H85" s="17"/>
      <c r="I85" s="14" t="str">
        <f t="shared" si="7"/>
        <v/>
      </c>
      <c r="J85" s="15" t="str">
        <f t="shared" si="8"/>
        <v/>
      </c>
      <c r="K85" s="16"/>
    </row>
    <row r="86" spans="2:11" x14ac:dyDescent="0.25">
      <c r="B86" s="7" t="str">
        <f t="shared" si="6"/>
        <v/>
      </c>
      <c r="C86" s="8" t="str">
        <f>IF(D86="","",Master_Data!$C$3)</f>
        <v/>
      </c>
      <c r="D86" s="16"/>
      <c r="E86" s="16"/>
      <c r="F86" s="16"/>
      <c r="G86" s="17"/>
      <c r="H86" s="17"/>
      <c r="I86" s="14" t="str">
        <f t="shared" si="7"/>
        <v/>
      </c>
      <c r="J86" s="15" t="str">
        <f t="shared" si="8"/>
        <v/>
      </c>
      <c r="K86" s="16"/>
    </row>
    <row r="87" spans="2:11" x14ac:dyDescent="0.25">
      <c r="B87" s="7" t="str">
        <f t="shared" si="6"/>
        <v/>
      </c>
      <c r="C87" s="8" t="str">
        <f>IF(D87="","",Master_Data!$C$3)</f>
        <v/>
      </c>
      <c r="D87" s="16"/>
      <c r="E87" s="16"/>
      <c r="F87" s="16"/>
      <c r="G87" s="17"/>
      <c r="H87" s="17"/>
      <c r="I87" s="14" t="str">
        <f t="shared" si="7"/>
        <v/>
      </c>
      <c r="J87" s="15" t="str">
        <f t="shared" si="8"/>
        <v/>
      </c>
      <c r="K87" s="16"/>
    </row>
    <row r="88" spans="2:11" x14ac:dyDescent="0.25">
      <c r="B88" s="7" t="str">
        <f t="shared" si="6"/>
        <v/>
      </c>
      <c r="C88" s="8" t="str">
        <f>IF(D88="","",Master_Data!$C$3)</f>
        <v/>
      </c>
      <c r="D88" s="16"/>
      <c r="E88" s="16"/>
      <c r="F88" s="16"/>
      <c r="G88" s="17"/>
      <c r="H88" s="17"/>
      <c r="I88" s="14" t="str">
        <f t="shared" si="7"/>
        <v/>
      </c>
      <c r="J88" s="15" t="str">
        <f t="shared" si="8"/>
        <v/>
      </c>
      <c r="K88" s="16"/>
    </row>
    <row r="89" spans="2:11" x14ac:dyDescent="0.25">
      <c r="B89" s="7" t="str">
        <f t="shared" si="6"/>
        <v/>
      </c>
      <c r="C89" s="8" t="str">
        <f>IF(D89="","",Master_Data!$C$3)</f>
        <v/>
      </c>
      <c r="D89" s="16"/>
      <c r="E89" s="16"/>
      <c r="F89" s="16"/>
      <c r="G89" s="17"/>
      <c r="H89" s="17"/>
      <c r="I89" s="14" t="str">
        <f t="shared" si="7"/>
        <v/>
      </c>
      <c r="J89" s="15" t="str">
        <f t="shared" si="8"/>
        <v/>
      </c>
      <c r="K89" s="16"/>
    </row>
    <row r="90" spans="2:11" x14ac:dyDescent="0.25">
      <c r="B90" s="7" t="str">
        <f t="shared" si="6"/>
        <v/>
      </c>
      <c r="C90" s="8" t="str">
        <f>IF(D90="","",Master_Data!$C$3)</f>
        <v/>
      </c>
      <c r="D90" s="16"/>
      <c r="E90" s="16"/>
      <c r="F90" s="16"/>
      <c r="G90" s="17"/>
      <c r="H90" s="17"/>
      <c r="I90" s="14" t="str">
        <f t="shared" si="7"/>
        <v/>
      </c>
      <c r="J90" s="15" t="str">
        <f t="shared" si="8"/>
        <v/>
      </c>
      <c r="K90" s="16"/>
    </row>
    <row r="91" spans="2:11" x14ac:dyDescent="0.25">
      <c r="B91" s="7" t="str">
        <f t="shared" si="6"/>
        <v/>
      </c>
      <c r="C91" s="8" t="str">
        <f>IF(D91="","",Master_Data!$C$3)</f>
        <v/>
      </c>
      <c r="D91" s="16"/>
      <c r="E91" s="16"/>
      <c r="F91" s="16"/>
      <c r="G91" s="17"/>
      <c r="H91" s="17"/>
      <c r="I91" s="14" t="str">
        <f t="shared" si="7"/>
        <v/>
      </c>
      <c r="J91" s="15" t="str">
        <f t="shared" si="8"/>
        <v/>
      </c>
      <c r="K91" s="16"/>
    </row>
    <row r="92" spans="2:11" x14ac:dyDescent="0.25">
      <c r="B92" s="7" t="str">
        <f t="shared" si="6"/>
        <v/>
      </c>
      <c r="C92" s="8" t="str">
        <f>IF(D92="","",Master_Data!$C$3)</f>
        <v/>
      </c>
      <c r="D92" s="16"/>
      <c r="E92" s="16"/>
      <c r="F92" s="16"/>
      <c r="G92" s="17"/>
      <c r="H92" s="17"/>
      <c r="I92" s="14" t="str">
        <f t="shared" si="7"/>
        <v/>
      </c>
      <c r="J92" s="15" t="str">
        <f t="shared" si="8"/>
        <v/>
      </c>
      <c r="K92" s="16"/>
    </row>
    <row r="93" spans="2:11" x14ac:dyDescent="0.25">
      <c r="B93" s="7" t="str">
        <f t="shared" si="6"/>
        <v/>
      </c>
      <c r="C93" s="8" t="str">
        <f>IF(D93="","",Master_Data!$C$3)</f>
        <v/>
      </c>
      <c r="D93" s="16"/>
      <c r="E93" s="16"/>
      <c r="F93" s="16"/>
      <c r="G93" s="17"/>
      <c r="H93" s="17"/>
      <c r="I93" s="14" t="str">
        <f t="shared" si="7"/>
        <v/>
      </c>
      <c r="J93" s="15" t="str">
        <f t="shared" si="8"/>
        <v/>
      </c>
      <c r="K93" s="16"/>
    </row>
    <row r="94" spans="2:11" x14ac:dyDescent="0.25">
      <c r="B94" s="7" t="str">
        <f t="shared" si="6"/>
        <v/>
      </c>
      <c r="C94" s="8" t="str">
        <f>IF(D94="","",Master_Data!$C$3)</f>
        <v/>
      </c>
      <c r="D94" s="16"/>
      <c r="E94" s="16"/>
      <c r="F94" s="16"/>
      <c r="G94" s="17"/>
      <c r="H94" s="17"/>
      <c r="I94" s="14" t="str">
        <f t="shared" si="7"/>
        <v/>
      </c>
      <c r="J94" s="15" t="str">
        <f t="shared" si="8"/>
        <v/>
      </c>
      <c r="K94" s="16"/>
    </row>
    <row r="95" spans="2:11" x14ac:dyDescent="0.25">
      <c r="B95" s="7" t="str">
        <f t="shared" si="6"/>
        <v/>
      </c>
      <c r="C95" s="8" t="str">
        <f>IF(D95="","",Master_Data!$C$3)</f>
        <v/>
      </c>
      <c r="D95" s="16"/>
      <c r="E95" s="16"/>
      <c r="F95" s="16"/>
      <c r="G95" s="17"/>
      <c r="H95" s="17"/>
      <c r="I95" s="14" t="str">
        <f t="shared" si="7"/>
        <v/>
      </c>
      <c r="J95" s="15" t="str">
        <f t="shared" si="8"/>
        <v/>
      </c>
      <c r="K95" s="16"/>
    </row>
    <row r="96" spans="2:11" x14ac:dyDescent="0.25">
      <c r="B96" s="7" t="str">
        <f t="shared" si="6"/>
        <v/>
      </c>
      <c r="C96" s="8" t="str">
        <f>IF(D96="","",Master_Data!$C$3)</f>
        <v/>
      </c>
      <c r="D96" s="16"/>
      <c r="E96" s="16"/>
      <c r="F96" s="16"/>
      <c r="G96" s="17"/>
      <c r="H96" s="17"/>
      <c r="I96" s="14" t="str">
        <f t="shared" si="7"/>
        <v/>
      </c>
      <c r="J96" s="15" t="str">
        <f t="shared" si="8"/>
        <v/>
      </c>
      <c r="K96" s="16"/>
    </row>
    <row r="97" spans="2:11" x14ac:dyDescent="0.25">
      <c r="B97" s="7" t="str">
        <f t="shared" si="6"/>
        <v/>
      </c>
      <c r="C97" s="8" t="str">
        <f>IF(D97="","",Master_Data!$C$3)</f>
        <v/>
      </c>
      <c r="D97" s="16"/>
      <c r="E97" s="16"/>
      <c r="F97" s="16"/>
      <c r="G97" s="17"/>
      <c r="H97" s="17"/>
      <c r="I97" s="14" t="str">
        <f t="shared" si="7"/>
        <v/>
      </c>
      <c r="J97" s="15" t="str">
        <f t="shared" si="8"/>
        <v/>
      </c>
      <c r="K97" s="16"/>
    </row>
    <row r="98" spans="2:11" x14ac:dyDescent="0.25">
      <c r="B98" s="7" t="str">
        <f t="shared" si="6"/>
        <v/>
      </c>
      <c r="C98" s="8" t="str">
        <f>IF(D98="","",Master_Data!$C$3)</f>
        <v/>
      </c>
      <c r="D98" s="16"/>
      <c r="E98" s="16"/>
      <c r="F98" s="16"/>
      <c r="G98" s="17"/>
      <c r="H98" s="17"/>
      <c r="I98" s="14" t="str">
        <f t="shared" si="7"/>
        <v/>
      </c>
      <c r="J98" s="15" t="str">
        <f t="shared" si="8"/>
        <v/>
      </c>
      <c r="K98" s="16"/>
    </row>
    <row r="99" spans="2:11" x14ac:dyDescent="0.25">
      <c r="B99" s="7" t="str">
        <f t="shared" si="6"/>
        <v/>
      </c>
      <c r="C99" s="8" t="str">
        <f>IF(D99="","",Master_Data!$C$3)</f>
        <v/>
      </c>
      <c r="D99" s="16"/>
      <c r="E99" s="16"/>
      <c r="F99" s="16"/>
      <c r="G99" s="17"/>
      <c r="H99" s="17"/>
      <c r="I99" s="14" t="str">
        <f t="shared" si="7"/>
        <v/>
      </c>
      <c r="J99" s="15" t="str">
        <f t="shared" si="8"/>
        <v/>
      </c>
      <c r="K99" s="16"/>
    </row>
    <row r="100" spans="2:11" x14ac:dyDescent="0.25">
      <c r="B100" s="7" t="str">
        <f t="shared" si="6"/>
        <v/>
      </c>
      <c r="C100" s="8" t="str">
        <f>IF(D100="","",Master_Data!$C$3)</f>
        <v/>
      </c>
      <c r="D100" s="16"/>
      <c r="E100" s="16"/>
      <c r="F100" s="16"/>
      <c r="G100" s="17"/>
      <c r="H100" s="17"/>
      <c r="I100" s="14" t="str">
        <f t="shared" si="7"/>
        <v/>
      </c>
      <c r="J100" s="15" t="str">
        <f t="shared" si="8"/>
        <v/>
      </c>
      <c r="K100" s="16"/>
    </row>
    <row r="101" spans="2:11" x14ac:dyDescent="0.25">
      <c r="B101" s="7" t="str">
        <f t="shared" si="6"/>
        <v/>
      </c>
      <c r="C101" s="8" t="str">
        <f>IF(D101="","",Master_Data!$C$3)</f>
        <v/>
      </c>
      <c r="D101" s="16"/>
      <c r="E101" s="16"/>
      <c r="F101" s="16"/>
      <c r="G101" s="17"/>
      <c r="H101" s="17"/>
      <c r="I101" s="14" t="str">
        <f t="shared" si="7"/>
        <v/>
      </c>
      <c r="J101" s="15" t="str">
        <f t="shared" si="8"/>
        <v/>
      </c>
      <c r="K101" s="16"/>
    </row>
    <row r="102" spans="2:11" x14ac:dyDescent="0.25">
      <c r="B102" s="7" t="str">
        <f t="shared" ref="B102:B133" si="9">IF(D102="","",ROW()-5)</f>
        <v/>
      </c>
      <c r="C102" s="8" t="str">
        <f>IF(D102="","",Master_Data!$C$3)</f>
        <v/>
      </c>
      <c r="D102" s="16"/>
      <c r="E102" s="16"/>
      <c r="F102" s="16"/>
      <c r="G102" s="17"/>
      <c r="H102" s="17"/>
      <c r="I102" s="14" t="str">
        <f t="shared" ref="I102:I133" si="10">IF(G102="","",G102-H102)</f>
        <v/>
      </c>
      <c r="J102" s="15" t="str">
        <f t="shared" ref="J102:J133" si="11">IF(OR(G102="",G102=0),"",H102/G102)</f>
        <v/>
      </c>
      <c r="K102" s="16"/>
    </row>
    <row r="103" spans="2:11" x14ac:dyDescent="0.25">
      <c r="B103" s="7" t="str">
        <f t="shared" si="9"/>
        <v/>
      </c>
      <c r="C103" s="8" t="str">
        <f>IF(D103="","",Master_Data!$C$3)</f>
        <v/>
      </c>
      <c r="D103" s="16"/>
      <c r="E103" s="16"/>
      <c r="F103" s="16"/>
      <c r="G103" s="17"/>
      <c r="H103" s="17"/>
      <c r="I103" s="14" t="str">
        <f t="shared" si="10"/>
        <v/>
      </c>
      <c r="J103" s="15" t="str">
        <f t="shared" si="11"/>
        <v/>
      </c>
      <c r="K103" s="16"/>
    </row>
    <row r="104" spans="2:11" x14ac:dyDescent="0.25">
      <c r="B104" s="7" t="str">
        <f t="shared" si="9"/>
        <v/>
      </c>
      <c r="C104" s="8" t="str">
        <f>IF(D104="","",Master_Data!$C$3)</f>
        <v/>
      </c>
      <c r="D104" s="16"/>
      <c r="E104" s="16"/>
      <c r="F104" s="16"/>
      <c r="G104" s="17"/>
      <c r="H104" s="17"/>
      <c r="I104" s="14" t="str">
        <f t="shared" si="10"/>
        <v/>
      </c>
      <c r="J104" s="15" t="str">
        <f t="shared" si="11"/>
        <v/>
      </c>
      <c r="K104" s="16"/>
    </row>
    <row r="105" spans="2:11" x14ac:dyDescent="0.25">
      <c r="B105" s="7" t="str">
        <f t="shared" si="9"/>
        <v/>
      </c>
      <c r="C105" s="8" t="str">
        <f>IF(D105="","",Master_Data!$C$3)</f>
        <v/>
      </c>
      <c r="D105" s="16"/>
      <c r="E105" s="16"/>
      <c r="F105" s="16"/>
      <c r="G105" s="17"/>
      <c r="H105" s="17"/>
      <c r="I105" s="14" t="str">
        <f t="shared" si="10"/>
        <v/>
      </c>
      <c r="J105" s="15" t="str">
        <f t="shared" si="11"/>
        <v/>
      </c>
      <c r="K105" s="16"/>
    </row>
    <row r="106" spans="2:11" x14ac:dyDescent="0.25">
      <c r="B106" s="7" t="str">
        <f t="shared" si="9"/>
        <v/>
      </c>
      <c r="C106" s="8" t="str">
        <f>IF(D106="","",Master_Data!$C$3)</f>
        <v/>
      </c>
      <c r="D106" s="16"/>
      <c r="E106" s="16"/>
      <c r="F106" s="16"/>
      <c r="G106" s="17"/>
      <c r="H106" s="17"/>
      <c r="I106" s="14" t="str">
        <f t="shared" si="10"/>
        <v/>
      </c>
      <c r="J106" s="15" t="str">
        <f t="shared" si="11"/>
        <v/>
      </c>
      <c r="K106" s="16"/>
    </row>
    <row r="107" spans="2:11" x14ac:dyDescent="0.25">
      <c r="B107" s="7" t="str">
        <f t="shared" si="9"/>
        <v/>
      </c>
      <c r="C107" s="8" t="str">
        <f>IF(D107="","",Master_Data!$C$3)</f>
        <v/>
      </c>
      <c r="D107" s="16"/>
      <c r="E107" s="16"/>
      <c r="F107" s="16"/>
      <c r="G107" s="17"/>
      <c r="H107" s="17"/>
      <c r="I107" s="14" t="str">
        <f t="shared" si="10"/>
        <v/>
      </c>
      <c r="J107" s="15" t="str">
        <f t="shared" si="11"/>
        <v/>
      </c>
      <c r="K107" s="16"/>
    </row>
    <row r="108" spans="2:11" x14ac:dyDescent="0.25">
      <c r="B108" s="7" t="str">
        <f t="shared" si="9"/>
        <v/>
      </c>
      <c r="C108" s="8" t="str">
        <f>IF(D108="","",Master_Data!$C$3)</f>
        <v/>
      </c>
      <c r="D108" s="16"/>
      <c r="E108" s="16"/>
      <c r="F108" s="16"/>
      <c r="G108" s="17"/>
      <c r="H108" s="17"/>
      <c r="I108" s="14" t="str">
        <f t="shared" si="10"/>
        <v/>
      </c>
      <c r="J108" s="15" t="str">
        <f t="shared" si="11"/>
        <v/>
      </c>
      <c r="K108" s="16"/>
    </row>
    <row r="109" spans="2:11" x14ac:dyDescent="0.25">
      <c r="B109" s="7" t="str">
        <f t="shared" si="9"/>
        <v/>
      </c>
      <c r="C109" s="8" t="str">
        <f>IF(D109="","",Master_Data!$C$3)</f>
        <v/>
      </c>
      <c r="D109" s="16"/>
      <c r="E109" s="16"/>
      <c r="F109" s="16"/>
      <c r="G109" s="17"/>
      <c r="H109" s="17"/>
      <c r="I109" s="14" t="str">
        <f t="shared" si="10"/>
        <v/>
      </c>
      <c r="J109" s="15" t="str">
        <f t="shared" si="11"/>
        <v/>
      </c>
      <c r="K109" s="16"/>
    </row>
    <row r="110" spans="2:11" x14ac:dyDescent="0.25">
      <c r="B110" s="7" t="str">
        <f t="shared" si="9"/>
        <v/>
      </c>
      <c r="C110" s="8" t="str">
        <f>IF(D110="","",Master_Data!$C$3)</f>
        <v/>
      </c>
      <c r="D110" s="16"/>
      <c r="E110" s="16"/>
      <c r="F110" s="16"/>
      <c r="G110" s="17"/>
      <c r="H110" s="17"/>
      <c r="I110" s="14" t="str">
        <f t="shared" si="10"/>
        <v/>
      </c>
      <c r="J110" s="15" t="str">
        <f t="shared" si="11"/>
        <v/>
      </c>
      <c r="K110" s="16"/>
    </row>
    <row r="111" spans="2:11" x14ac:dyDescent="0.25">
      <c r="B111" s="7" t="str">
        <f t="shared" si="9"/>
        <v/>
      </c>
      <c r="C111" s="8" t="str">
        <f>IF(D111="","",Master_Data!$C$3)</f>
        <v/>
      </c>
      <c r="D111" s="16"/>
      <c r="E111" s="16"/>
      <c r="F111" s="16"/>
      <c r="G111" s="17"/>
      <c r="H111" s="17"/>
      <c r="I111" s="14" t="str">
        <f t="shared" si="10"/>
        <v/>
      </c>
      <c r="J111" s="15" t="str">
        <f t="shared" si="11"/>
        <v/>
      </c>
      <c r="K111" s="16"/>
    </row>
    <row r="112" spans="2:11" x14ac:dyDescent="0.25">
      <c r="B112" s="7" t="str">
        <f t="shared" si="9"/>
        <v/>
      </c>
      <c r="C112" s="8" t="str">
        <f>IF(D112="","",Master_Data!$C$3)</f>
        <v/>
      </c>
      <c r="D112" s="16"/>
      <c r="E112" s="16"/>
      <c r="F112" s="16"/>
      <c r="G112" s="17"/>
      <c r="H112" s="17"/>
      <c r="I112" s="14" t="str">
        <f t="shared" si="10"/>
        <v/>
      </c>
      <c r="J112" s="15" t="str">
        <f t="shared" si="11"/>
        <v/>
      </c>
      <c r="K112" s="16"/>
    </row>
    <row r="113" spans="2:11" x14ac:dyDescent="0.25">
      <c r="B113" s="7" t="str">
        <f t="shared" si="9"/>
        <v/>
      </c>
      <c r="C113" s="8" t="str">
        <f>IF(D113="","",Master_Data!$C$3)</f>
        <v/>
      </c>
      <c r="D113" s="16"/>
      <c r="E113" s="16"/>
      <c r="F113" s="16"/>
      <c r="G113" s="17"/>
      <c r="H113" s="17"/>
      <c r="I113" s="14" t="str">
        <f t="shared" si="10"/>
        <v/>
      </c>
      <c r="J113" s="15" t="str">
        <f t="shared" si="11"/>
        <v/>
      </c>
      <c r="K113" s="16"/>
    </row>
    <row r="114" spans="2:11" x14ac:dyDescent="0.25">
      <c r="B114" s="7" t="str">
        <f t="shared" si="9"/>
        <v/>
      </c>
      <c r="C114" s="8" t="str">
        <f>IF(D114="","",Master_Data!$C$3)</f>
        <v/>
      </c>
      <c r="D114" s="16"/>
      <c r="E114" s="16"/>
      <c r="F114" s="16"/>
      <c r="G114" s="17"/>
      <c r="H114" s="17"/>
      <c r="I114" s="14" t="str">
        <f t="shared" si="10"/>
        <v/>
      </c>
      <c r="J114" s="15" t="str">
        <f t="shared" si="11"/>
        <v/>
      </c>
      <c r="K114" s="16"/>
    </row>
    <row r="115" spans="2:11" x14ac:dyDescent="0.25">
      <c r="B115" s="7" t="str">
        <f t="shared" si="9"/>
        <v/>
      </c>
      <c r="C115" s="8" t="str">
        <f>IF(D115="","",Master_Data!$C$3)</f>
        <v/>
      </c>
      <c r="D115" s="16"/>
      <c r="E115" s="16"/>
      <c r="F115" s="16"/>
      <c r="G115" s="17"/>
      <c r="H115" s="17"/>
      <c r="I115" s="14" t="str">
        <f t="shared" si="10"/>
        <v/>
      </c>
      <c r="J115" s="15" t="str">
        <f t="shared" si="11"/>
        <v/>
      </c>
      <c r="K115" s="16"/>
    </row>
    <row r="116" spans="2:11" x14ac:dyDescent="0.25">
      <c r="B116" s="7" t="str">
        <f t="shared" si="9"/>
        <v/>
      </c>
      <c r="C116" s="8" t="str">
        <f>IF(D116="","",Master_Data!$C$3)</f>
        <v/>
      </c>
      <c r="D116" s="16"/>
      <c r="E116" s="16"/>
      <c r="F116" s="16"/>
      <c r="G116" s="17"/>
      <c r="H116" s="17"/>
      <c r="I116" s="14" t="str">
        <f t="shared" si="10"/>
        <v/>
      </c>
      <c r="J116" s="15" t="str">
        <f t="shared" si="11"/>
        <v/>
      </c>
      <c r="K116" s="16"/>
    </row>
    <row r="117" spans="2:11" x14ac:dyDescent="0.25">
      <c r="B117" s="7" t="str">
        <f t="shared" si="9"/>
        <v/>
      </c>
      <c r="C117" s="8" t="str">
        <f>IF(D117="","",Master_Data!$C$3)</f>
        <v/>
      </c>
      <c r="D117" s="16"/>
      <c r="E117" s="16"/>
      <c r="F117" s="16"/>
      <c r="G117" s="17"/>
      <c r="H117" s="17"/>
      <c r="I117" s="14" t="str">
        <f t="shared" si="10"/>
        <v/>
      </c>
      <c r="J117" s="15" t="str">
        <f t="shared" si="11"/>
        <v/>
      </c>
      <c r="K117" s="16"/>
    </row>
    <row r="118" spans="2:11" x14ac:dyDescent="0.25">
      <c r="B118" s="7" t="str">
        <f t="shared" si="9"/>
        <v/>
      </c>
      <c r="C118" s="8" t="str">
        <f>IF(D118="","",Master_Data!$C$3)</f>
        <v/>
      </c>
      <c r="D118" s="16"/>
      <c r="E118" s="16"/>
      <c r="F118" s="16"/>
      <c r="G118" s="17"/>
      <c r="H118" s="17"/>
      <c r="I118" s="14" t="str">
        <f t="shared" si="10"/>
        <v/>
      </c>
      <c r="J118" s="15" t="str">
        <f t="shared" si="11"/>
        <v/>
      </c>
      <c r="K118" s="16"/>
    </row>
    <row r="119" spans="2:11" x14ac:dyDescent="0.25">
      <c r="B119" s="7" t="str">
        <f t="shared" si="9"/>
        <v/>
      </c>
      <c r="C119" s="8" t="str">
        <f>IF(D119="","",Master_Data!$C$3)</f>
        <v/>
      </c>
      <c r="D119" s="16"/>
      <c r="E119" s="16"/>
      <c r="F119" s="16"/>
      <c r="G119" s="17"/>
      <c r="H119" s="17"/>
      <c r="I119" s="14" t="str">
        <f t="shared" si="10"/>
        <v/>
      </c>
      <c r="J119" s="15" t="str">
        <f t="shared" si="11"/>
        <v/>
      </c>
      <c r="K119" s="16"/>
    </row>
    <row r="120" spans="2:11" x14ac:dyDescent="0.25">
      <c r="B120" s="7" t="str">
        <f t="shared" si="9"/>
        <v/>
      </c>
      <c r="C120" s="8" t="str">
        <f>IF(D120="","",Master_Data!$C$3)</f>
        <v/>
      </c>
      <c r="D120" s="16"/>
      <c r="E120" s="16"/>
      <c r="F120" s="16"/>
      <c r="G120" s="17"/>
      <c r="H120" s="17"/>
      <c r="I120" s="14" t="str">
        <f t="shared" si="10"/>
        <v/>
      </c>
      <c r="J120" s="15" t="str">
        <f t="shared" si="11"/>
        <v/>
      </c>
      <c r="K120" s="16"/>
    </row>
    <row r="121" spans="2:11" x14ac:dyDescent="0.25">
      <c r="B121" s="7" t="str">
        <f t="shared" si="9"/>
        <v/>
      </c>
      <c r="C121" s="8" t="str">
        <f>IF(D121="","",Master_Data!$C$3)</f>
        <v/>
      </c>
      <c r="D121" s="16"/>
      <c r="E121" s="16"/>
      <c r="F121" s="16"/>
      <c r="G121" s="17"/>
      <c r="H121" s="17"/>
      <c r="I121" s="14" t="str">
        <f t="shared" si="10"/>
        <v/>
      </c>
      <c r="J121" s="15" t="str">
        <f t="shared" si="11"/>
        <v/>
      </c>
      <c r="K121" s="16"/>
    </row>
    <row r="122" spans="2:11" x14ac:dyDescent="0.25">
      <c r="B122" s="7" t="str">
        <f t="shared" si="9"/>
        <v/>
      </c>
      <c r="C122" s="8" t="str">
        <f>IF(D122="","",Master_Data!$C$3)</f>
        <v/>
      </c>
      <c r="D122" s="16"/>
      <c r="E122" s="16"/>
      <c r="F122" s="16"/>
      <c r="G122" s="17"/>
      <c r="H122" s="17"/>
      <c r="I122" s="14" t="str">
        <f t="shared" si="10"/>
        <v/>
      </c>
      <c r="J122" s="15" t="str">
        <f t="shared" si="11"/>
        <v/>
      </c>
      <c r="K122" s="16"/>
    </row>
    <row r="123" spans="2:11" x14ac:dyDescent="0.25">
      <c r="B123" s="7" t="str">
        <f t="shared" si="9"/>
        <v/>
      </c>
      <c r="C123" s="8" t="str">
        <f>IF(D123="","",Master_Data!$C$3)</f>
        <v/>
      </c>
      <c r="D123" s="16"/>
      <c r="E123" s="16"/>
      <c r="F123" s="16"/>
      <c r="G123" s="17"/>
      <c r="H123" s="17"/>
      <c r="I123" s="14" t="str">
        <f t="shared" si="10"/>
        <v/>
      </c>
      <c r="J123" s="15" t="str">
        <f t="shared" si="11"/>
        <v/>
      </c>
      <c r="K123" s="16"/>
    </row>
    <row r="124" spans="2:11" x14ac:dyDescent="0.25">
      <c r="B124" s="7" t="str">
        <f t="shared" si="9"/>
        <v/>
      </c>
      <c r="C124" s="8" t="str">
        <f>IF(D124="","",Master_Data!$C$3)</f>
        <v/>
      </c>
      <c r="D124" s="16"/>
      <c r="E124" s="16"/>
      <c r="F124" s="16"/>
      <c r="G124" s="17"/>
      <c r="H124" s="17"/>
      <c r="I124" s="14" t="str">
        <f t="shared" si="10"/>
        <v/>
      </c>
      <c r="J124" s="15" t="str">
        <f t="shared" si="11"/>
        <v/>
      </c>
      <c r="K124" s="16"/>
    </row>
    <row r="125" spans="2:11" x14ac:dyDescent="0.25">
      <c r="B125" s="7" t="str">
        <f t="shared" si="9"/>
        <v/>
      </c>
      <c r="C125" s="8" t="str">
        <f>IF(D125="","",Master_Data!$C$3)</f>
        <v/>
      </c>
      <c r="D125" s="16"/>
      <c r="E125" s="16"/>
      <c r="F125" s="16"/>
      <c r="G125" s="17"/>
      <c r="H125" s="17"/>
      <c r="I125" s="14" t="str">
        <f t="shared" si="10"/>
        <v/>
      </c>
      <c r="J125" s="15" t="str">
        <f t="shared" si="11"/>
        <v/>
      </c>
      <c r="K125" s="16"/>
    </row>
    <row r="126" spans="2:11" x14ac:dyDescent="0.25">
      <c r="B126" s="7" t="str">
        <f t="shared" si="9"/>
        <v/>
      </c>
      <c r="C126" s="8" t="str">
        <f>IF(D126="","",Master_Data!$C$3)</f>
        <v/>
      </c>
      <c r="D126" s="16"/>
      <c r="E126" s="16"/>
      <c r="F126" s="16"/>
      <c r="G126" s="17"/>
      <c r="H126" s="17"/>
      <c r="I126" s="14" t="str">
        <f t="shared" si="10"/>
        <v/>
      </c>
      <c r="J126" s="15" t="str">
        <f t="shared" si="11"/>
        <v/>
      </c>
      <c r="K126" s="16"/>
    </row>
    <row r="127" spans="2:11" x14ac:dyDescent="0.25">
      <c r="B127" s="7" t="str">
        <f t="shared" si="9"/>
        <v/>
      </c>
      <c r="C127" s="8" t="str">
        <f>IF(D127="","",Master_Data!$C$3)</f>
        <v/>
      </c>
      <c r="D127" s="16"/>
      <c r="E127" s="16"/>
      <c r="F127" s="16"/>
      <c r="G127" s="17"/>
      <c r="H127" s="17"/>
      <c r="I127" s="14" t="str">
        <f t="shared" si="10"/>
        <v/>
      </c>
      <c r="J127" s="15" t="str">
        <f t="shared" si="11"/>
        <v/>
      </c>
      <c r="K127" s="16"/>
    </row>
    <row r="128" spans="2:11" x14ac:dyDescent="0.25">
      <c r="B128" s="7" t="str">
        <f t="shared" si="9"/>
        <v/>
      </c>
      <c r="C128" s="8" t="str">
        <f>IF(D128="","",Master_Data!$C$3)</f>
        <v/>
      </c>
      <c r="D128" s="16"/>
      <c r="E128" s="16"/>
      <c r="F128" s="16"/>
      <c r="G128" s="17"/>
      <c r="H128" s="17"/>
      <c r="I128" s="14" t="str">
        <f t="shared" si="10"/>
        <v/>
      </c>
      <c r="J128" s="15" t="str">
        <f t="shared" si="11"/>
        <v/>
      </c>
      <c r="K128" s="16"/>
    </row>
    <row r="129" spans="2:11" x14ac:dyDescent="0.25">
      <c r="B129" s="7" t="str">
        <f t="shared" si="9"/>
        <v/>
      </c>
      <c r="C129" s="8" t="str">
        <f>IF(D129="","",Master_Data!$C$3)</f>
        <v/>
      </c>
      <c r="D129" s="16"/>
      <c r="E129" s="16"/>
      <c r="F129" s="16"/>
      <c r="G129" s="17"/>
      <c r="H129" s="17"/>
      <c r="I129" s="14" t="str">
        <f t="shared" si="10"/>
        <v/>
      </c>
      <c r="J129" s="15" t="str">
        <f t="shared" si="11"/>
        <v/>
      </c>
      <c r="K129" s="16"/>
    </row>
    <row r="130" spans="2:11" x14ac:dyDescent="0.25">
      <c r="B130" s="7" t="str">
        <f t="shared" si="9"/>
        <v/>
      </c>
      <c r="C130" s="8" t="str">
        <f>IF(D130="","",Master_Data!$C$3)</f>
        <v/>
      </c>
      <c r="D130" s="16"/>
      <c r="E130" s="16"/>
      <c r="F130" s="16"/>
      <c r="G130" s="17"/>
      <c r="H130" s="17"/>
      <c r="I130" s="14" t="str">
        <f t="shared" si="10"/>
        <v/>
      </c>
      <c r="J130" s="15" t="str">
        <f t="shared" si="11"/>
        <v/>
      </c>
      <c r="K130" s="16"/>
    </row>
    <row r="131" spans="2:11" x14ac:dyDescent="0.25">
      <c r="B131" s="7" t="str">
        <f t="shared" si="9"/>
        <v/>
      </c>
      <c r="C131" s="8" t="str">
        <f>IF(D131="","",Master_Data!$C$3)</f>
        <v/>
      </c>
      <c r="D131" s="16"/>
      <c r="E131" s="16"/>
      <c r="F131" s="16"/>
      <c r="G131" s="17"/>
      <c r="H131" s="17"/>
      <c r="I131" s="14" t="str">
        <f t="shared" si="10"/>
        <v/>
      </c>
      <c r="J131" s="15" t="str">
        <f t="shared" si="11"/>
        <v/>
      </c>
      <c r="K131" s="16"/>
    </row>
    <row r="132" spans="2:11" x14ac:dyDescent="0.25">
      <c r="B132" s="7" t="str">
        <f t="shared" si="9"/>
        <v/>
      </c>
      <c r="C132" s="8" t="str">
        <f>IF(D132="","",Master_Data!$C$3)</f>
        <v/>
      </c>
      <c r="D132" s="16"/>
      <c r="E132" s="16"/>
      <c r="F132" s="16"/>
      <c r="G132" s="17"/>
      <c r="H132" s="17"/>
      <c r="I132" s="14" t="str">
        <f t="shared" si="10"/>
        <v/>
      </c>
      <c r="J132" s="15" t="str">
        <f t="shared" si="11"/>
        <v/>
      </c>
      <c r="K132" s="16"/>
    </row>
    <row r="133" spans="2:11" x14ac:dyDescent="0.25">
      <c r="B133" s="7" t="str">
        <f t="shared" si="9"/>
        <v/>
      </c>
      <c r="C133" s="8" t="str">
        <f>IF(D133="","",Master_Data!$C$3)</f>
        <v/>
      </c>
      <c r="D133" s="16"/>
      <c r="E133" s="16"/>
      <c r="F133" s="16"/>
      <c r="G133" s="17"/>
      <c r="H133" s="17"/>
      <c r="I133" s="14" t="str">
        <f t="shared" si="10"/>
        <v/>
      </c>
      <c r="J133" s="15" t="str">
        <f t="shared" si="11"/>
        <v/>
      </c>
      <c r="K133" s="16"/>
    </row>
    <row r="134" spans="2:11" x14ac:dyDescent="0.25">
      <c r="B134" s="7" t="str">
        <f t="shared" ref="B134:B165" si="12">IF(D134="","",ROW()-5)</f>
        <v/>
      </c>
      <c r="C134" s="8" t="str">
        <f>IF(D134="","",Master_Data!$C$3)</f>
        <v/>
      </c>
      <c r="D134" s="16"/>
      <c r="E134" s="16"/>
      <c r="F134" s="16"/>
      <c r="G134" s="17"/>
      <c r="H134" s="17"/>
      <c r="I134" s="14" t="str">
        <f t="shared" ref="I134:I165" si="13">IF(G134="","",G134-H134)</f>
        <v/>
      </c>
      <c r="J134" s="15" t="str">
        <f t="shared" ref="J134:J165" si="14">IF(OR(G134="",G134=0),"",H134/G134)</f>
        <v/>
      </c>
      <c r="K134" s="16"/>
    </row>
    <row r="135" spans="2:11" x14ac:dyDescent="0.25">
      <c r="B135" s="7" t="str">
        <f t="shared" si="12"/>
        <v/>
      </c>
      <c r="C135" s="8" t="str">
        <f>IF(D135="","",Master_Data!$C$3)</f>
        <v/>
      </c>
      <c r="D135" s="16"/>
      <c r="E135" s="16"/>
      <c r="F135" s="16"/>
      <c r="G135" s="17"/>
      <c r="H135" s="17"/>
      <c r="I135" s="14" t="str">
        <f t="shared" si="13"/>
        <v/>
      </c>
      <c r="J135" s="15" t="str">
        <f t="shared" si="14"/>
        <v/>
      </c>
      <c r="K135" s="16"/>
    </row>
    <row r="136" spans="2:11" x14ac:dyDescent="0.25">
      <c r="B136" s="7" t="str">
        <f t="shared" si="12"/>
        <v/>
      </c>
      <c r="C136" s="8" t="str">
        <f>IF(D136="","",Master_Data!$C$3)</f>
        <v/>
      </c>
      <c r="D136" s="16"/>
      <c r="E136" s="16"/>
      <c r="F136" s="16"/>
      <c r="G136" s="17"/>
      <c r="H136" s="17"/>
      <c r="I136" s="14" t="str">
        <f t="shared" si="13"/>
        <v/>
      </c>
      <c r="J136" s="15" t="str">
        <f t="shared" si="14"/>
        <v/>
      </c>
      <c r="K136" s="16"/>
    </row>
    <row r="137" spans="2:11" x14ac:dyDescent="0.25">
      <c r="B137" s="7" t="str">
        <f t="shared" si="12"/>
        <v/>
      </c>
      <c r="C137" s="8" t="str">
        <f>IF(D137="","",Master_Data!$C$3)</f>
        <v/>
      </c>
      <c r="D137" s="16"/>
      <c r="E137" s="16"/>
      <c r="F137" s="16"/>
      <c r="G137" s="17"/>
      <c r="H137" s="17"/>
      <c r="I137" s="14" t="str">
        <f t="shared" si="13"/>
        <v/>
      </c>
      <c r="J137" s="15" t="str">
        <f t="shared" si="14"/>
        <v/>
      </c>
      <c r="K137" s="16"/>
    </row>
    <row r="138" spans="2:11" x14ac:dyDescent="0.25">
      <c r="B138" s="7" t="str">
        <f t="shared" si="12"/>
        <v/>
      </c>
      <c r="C138" s="8" t="str">
        <f>IF(D138="","",Master_Data!$C$3)</f>
        <v/>
      </c>
      <c r="D138" s="16"/>
      <c r="E138" s="16"/>
      <c r="F138" s="16"/>
      <c r="G138" s="17"/>
      <c r="H138" s="17"/>
      <c r="I138" s="14" t="str">
        <f t="shared" si="13"/>
        <v/>
      </c>
      <c r="J138" s="15" t="str">
        <f t="shared" si="14"/>
        <v/>
      </c>
      <c r="K138" s="16"/>
    </row>
    <row r="139" spans="2:11" x14ac:dyDescent="0.25">
      <c r="B139" s="7" t="str">
        <f t="shared" si="12"/>
        <v/>
      </c>
      <c r="C139" s="8" t="str">
        <f>IF(D139="","",Master_Data!$C$3)</f>
        <v/>
      </c>
      <c r="D139" s="16"/>
      <c r="E139" s="16"/>
      <c r="F139" s="16"/>
      <c r="G139" s="17"/>
      <c r="H139" s="17"/>
      <c r="I139" s="14" t="str">
        <f t="shared" si="13"/>
        <v/>
      </c>
      <c r="J139" s="15" t="str">
        <f t="shared" si="14"/>
        <v/>
      </c>
      <c r="K139" s="16"/>
    </row>
    <row r="140" spans="2:11" x14ac:dyDescent="0.25">
      <c r="B140" s="7" t="str">
        <f t="shared" si="12"/>
        <v/>
      </c>
      <c r="C140" s="8" t="str">
        <f>IF(D140="","",Master_Data!$C$3)</f>
        <v/>
      </c>
      <c r="D140" s="16"/>
      <c r="E140" s="16"/>
      <c r="F140" s="16"/>
      <c r="G140" s="17"/>
      <c r="H140" s="17"/>
      <c r="I140" s="14" t="str">
        <f t="shared" si="13"/>
        <v/>
      </c>
      <c r="J140" s="15" t="str">
        <f t="shared" si="14"/>
        <v/>
      </c>
      <c r="K140" s="16"/>
    </row>
    <row r="141" spans="2:11" x14ac:dyDescent="0.25">
      <c r="B141" s="7" t="str">
        <f t="shared" si="12"/>
        <v/>
      </c>
      <c r="C141" s="8" t="str">
        <f>IF(D141="","",Master_Data!$C$3)</f>
        <v/>
      </c>
      <c r="D141" s="16"/>
      <c r="E141" s="16"/>
      <c r="F141" s="16"/>
      <c r="G141" s="17"/>
      <c r="H141" s="17"/>
      <c r="I141" s="14" t="str">
        <f t="shared" si="13"/>
        <v/>
      </c>
      <c r="J141" s="15" t="str">
        <f t="shared" si="14"/>
        <v/>
      </c>
      <c r="K141" s="16"/>
    </row>
    <row r="142" spans="2:11" x14ac:dyDescent="0.25">
      <c r="B142" s="7" t="str">
        <f t="shared" si="12"/>
        <v/>
      </c>
      <c r="C142" s="8" t="str">
        <f>IF(D142="","",Master_Data!$C$3)</f>
        <v/>
      </c>
      <c r="D142" s="16"/>
      <c r="E142" s="16"/>
      <c r="F142" s="16"/>
      <c r="G142" s="17"/>
      <c r="H142" s="17"/>
      <c r="I142" s="14" t="str">
        <f t="shared" si="13"/>
        <v/>
      </c>
      <c r="J142" s="15" t="str">
        <f t="shared" si="14"/>
        <v/>
      </c>
      <c r="K142" s="16"/>
    </row>
    <row r="143" spans="2:11" x14ac:dyDescent="0.25">
      <c r="B143" s="7" t="str">
        <f t="shared" si="12"/>
        <v/>
      </c>
      <c r="C143" s="8" t="str">
        <f>IF(D143="","",Master_Data!$C$3)</f>
        <v/>
      </c>
      <c r="D143" s="16"/>
      <c r="E143" s="16"/>
      <c r="F143" s="16"/>
      <c r="G143" s="17"/>
      <c r="H143" s="17"/>
      <c r="I143" s="14" t="str">
        <f t="shared" si="13"/>
        <v/>
      </c>
      <c r="J143" s="15" t="str">
        <f t="shared" si="14"/>
        <v/>
      </c>
      <c r="K143" s="16"/>
    </row>
    <row r="144" spans="2:11" x14ac:dyDescent="0.25">
      <c r="B144" s="7" t="str">
        <f t="shared" si="12"/>
        <v/>
      </c>
      <c r="C144" s="8" t="str">
        <f>IF(D144="","",Master_Data!$C$3)</f>
        <v/>
      </c>
      <c r="D144" s="16"/>
      <c r="E144" s="16"/>
      <c r="F144" s="16"/>
      <c r="G144" s="17"/>
      <c r="H144" s="17"/>
      <c r="I144" s="14" t="str">
        <f t="shared" si="13"/>
        <v/>
      </c>
      <c r="J144" s="15" t="str">
        <f t="shared" si="14"/>
        <v/>
      </c>
      <c r="K144" s="16"/>
    </row>
    <row r="145" spans="2:11" x14ac:dyDescent="0.25">
      <c r="B145" s="7" t="str">
        <f t="shared" si="12"/>
        <v/>
      </c>
      <c r="C145" s="8" t="str">
        <f>IF(D145="","",Master_Data!$C$3)</f>
        <v/>
      </c>
      <c r="D145" s="16"/>
      <c r="E145" s="16"/>
      <c r="F145" s="16"/>
      <c r="G145" s="17"/>
      <c r="H145" s="17"/>
      <c r="I145" s="14" t="str">
        <f t="shared" si="13"/>
        <v/>
      </c>
      <c r="J145" s="15" t="str">
        <f t="shared" si="14"/>
        <v/>
      </c>
      <c r="K145" s="16"/>
    </row>
    <row r="146" spans="2:11" x14ac:dyDescent="0.25">
      <c r="B146" s="7" t="str">
        <f t="shared" si="12"/>
        <v/>
      </c>
      <c r="C146" s="8" t="str">
        <f>IF(D146="","",Master_Data!$C$3)</f>
        <v/>
      </c>
      <c r="D146" s="16"/>
      <c r="E146" s="16"/>
      <c r="F146" s="16"/>
      <c r="G146" s="17"/>
      <c r="H146" s="17"/>
      <c r="I146" s="14" t="str">
        <f t="shared" si="13"/>
        <v/>
      </c>
      <c r="J146" s="15" t="str">
        <f t="shared" si="14"/>
        <v/>
      </c>
      <c r="K146" s="16"/>
    </row>
    <row r="147" spans="2:11" x14ac:dyDescent="0.25">
      <c r="B147" s="7" t="str">
        <f t="shared" si="12"/>
        <v/>
      </c>
      <c r="C147" s="8" t="str">
        <f>IF(D147="","",Master_Data!$C$3)</f>
        <v/>
      </c>
      <c r="D147" s="16"/>
      <c r="E147" s="16"/>
      <c r="F147" s="16"/>
      <c r="G147" s="17"/>
      <c r="H147" s="17"/>
      <c r="I147" s="14" t="str">
        <f t="shared" si="13"/>
        <v/>
      </c>
      <c r="J147" s="15" t="str">
        <f t="shared" si="14"/>
        <v/>
      </c>
      <c r="K147" s="16"/>
    </row>
    <row r="148" spans="2:11" x14ac:dyDescent="0.25">
      <c r="B148" s="7" t="str">
        <f t="shared" si="12"/>
        <v/>
      </c>
      <c r="C148" s="8" t="str">
        <f>IF(D148="","",Master_Data!$C$3)</f>
        <v/>
      </c>
      <c r="D148" s="16"/>
      <c r="E148" s="16"/>
      <c r="F148" s="16"/>
      <c r="G148" s="17"/>
      <c r="H148" s="17"/>
      <c r="I148" s="14" t="str">
        <f t="shared" si="13"/>
        <v/>
      </c>
      <c r="J148" s="15" t="str">
        <f t="shared" si="14"/>
        <v/>
      </c>
      <c r="K148" s="16"/>
    </row>
    <row r="149" spans="2:11" x14ac:dyDescent="0.25">
      <c r="B149" s="7" t="str">
        <f t="shared" si="12"/>
        <v/>
      </c>
      <c r="C149" s="8" t="str">
        <f>IF(D149="","",Master_Data!$C$3)</f>
        <v/>
      </c>
      <c r="D149" s="16"/>
      <c r="E149" s="16"/>
      <c r="F149" s="16"/>
      <c r="G149" s="17"/>
      <c r="H149" s="17"/>
      <c r="I149" s="14" t="str">
        <f t="shared" si="13"/>
        <v/>
      </c>
      <c r="J149" s="15" t="str">
        <f t="shared" si="14"/>
        <v/>
      </c>
      <c r="K149" s="16"/>
    </row>
    <row r="150" spans="2:11" x14ac:dyDescent="0.25">
      <c r="B150" s="7" t="str">
        <f t="shared" si="12"/>
        <v/>
      </c>
      <c r="C150" s="8" t="str">
        <f>IF(D150="","",Master_Data!$C$3)</f>
        <v/>
      </c>
      <c r="D150" s="16"/>
      <c r="E150" s="16"/>
      <c r="F150" s="16"/>
      <c r="G150" s="17"/>
      <c r="H150" s="17"/>
      <c r="I150" s="14" t="str">
        <f t="shared" si="13"/>
        <v/>
      </c>
      <c r="J150" s="15" t="str">
        <f t="shared" si="14"/>
        <v/>
      </c>
      <c r="K150" s="16"/>
    </row>
    <row r="151" spans="2:11" x14ac:dyDescent="0.25">
      <c r="B151" s="7" t="str">
        <f t="shared" si="12"/>
        <v/>
      </c>
      <c r="C151" s="8" t="str">
        <f>IF(D151="","",Master_Data!$C$3)</f>
        <v/>
      </c>
      <c r="D151" s="16"/>
      <c r="E151" s="16"/>
      <c r="F151" s="16"/>
      <c r="G151" s="17"/>
      <c r="H151" s="17"/>
      <c r="I151" s="14" t="str">
        <f t="shared" si="13"/>
        <v/>
      </c>
      <c r="J151" s="15" t="str">
        <f t="shared" si="14"/>
        <v/>
      </c>
      <c r="K151" s="16"/>
    </row>
    <row r="152" spans="2:11" x14ac:dyDescent="0.25">
      <c r="B152" s="7" t="str">
        <f t="shared" si="12"/>
        <v/>
      </c>
      <c r="C152" s="8" t="str">
        <f>IF(D152="","",Master_Data!$C$3)</f>
        <v/>
      </c>
      <c r="D152" s="16"/>
      <c r="E152" s="16"/>
      <c r="F152" s="16"/>
      <c r="G152" s="17"/>
      <c r="H152" s="17"/>
      <c r="I152" s="14" t="str">
        <f t="shared" si="13"/>
        <v/>
      </c>
      <c r="J152" s="15" t="str">
        <f t="shared" si="14"/>
        <v/>
      </c>
      <c r="K152" s="16"/>
    </row>
    <row r="153" spans="2:11" x14ac:dyDescent="0.25">
      <c r="B153" s="7" t="str">
        <f t="shared" si="12"/>
        <v/>
      </c>
      <c r="C153" s="8" t="str">
        <f>IF(D153="","",Master_Data!$C$3)</f>
        <v/>
      </c>
      <c r="D153" s="16"/>
      <c r="E153" s="16"/>
      <c r="F153" s="16"/>
      <c r="G153" s="17"/>
      <c r="H153" s="17"/>
      <c r="I153" s="14" t="str">
        <f t="shared" si="13"/>
        <v/>
      </c>
      <c r="J153" s="15" t="str">
        <f t="shared" si="14"/>
        <v/>
      </c>
      <c r="K153" s="16"/>
    </row>
    <row r="154" spans="2:11" x14ac:dyDescent="0.25">
      <c r="B154" s="7" t="str">
        <f t="shared" si="12"/>
        <v/>
      </c>
      <c r="C154" s="8" t="str">
        <f>IF(D154="","",Master_Data!$C$3)</f>
        <v/>
      </c>
      <c r="D154" s="16"/>
      <c r="E154" s="16"/>
      <c r="F154" s="16"/>
      <c r="G154" s="17"/>
      <c r="H154" s="17"/>
      <c r="I154" s="14" t="str">
        <f t="shared" si="13"/>
        <v/>
      </c>
      <c r="J154" s="15" t="str">
        <f t="shared" si="14"/>
        <v/>
      </c>
      <c r="K154" s="16"/>
    </row>
    <row r="155" spans="2:11" x14ac:dyDescent="0.25">
      <c r="B155" s="7" t="str">
        <f t="shared" si="12"/>
        <v/>
      </c>
      <c r="C155" s="8" t="str">
        <f>IF(D155="","",Master_Data!$C$3)</f>
        <v/>
      </c>
      <c r="D155" s="16"/>
      <c r="E155" s="16"/>
      <c r="F155" s="16"/>
      <c r="G155" s="17"/>
      <c r="H155" s="17"/>
      <c r="I155" s="14" t="str">
        <f t="shared" si="13"/>
        <v/>
      </c>
      <c r="J155" s="15" t="str">
        <f t="shared" si="14"/>
        <v/>
      </c>
      <c r="K155" s="16"/>
    </row>
    <row r="156" spans="2:11" x14ac:dyDescent="0.25">
      <c r="B156" s="7" t="str">
        <f t="shared" si="12"/>
        <v/>
      </c>
      <c r="C156" s="8" t="str">
        <f>IF(D156="","",Master_Data!$C$3)</f>
        <v/>
      </c>
      <c r="D156" s="16"/>
      <c r="E156" s="16"/>
      <c r="F156" s="16"/>
      <c r="G156" s="17"/>
      <c r="H156" s="17"/>
      <c r="I156" s="14" t="str">
        <f t="shared" si="13"/>
        <v/>
      </c>
      <c r="J156" s="15" t="str">
        <f t="shared" si="14"/>
        <v/>
      </c>
      <c r="K156" s="16"/>
    </row>
    <row r="157" spans="2:11" x14ac:dyDescent="0.25">
      <c r="B157" s="7" t="str">
        <f t="shared" si="12"/>
        <v/>
      </c>
      <c r="C157" s="8" t="str">
        <f>IF(D157="","",Master_Data!$C$3)</f>
        <v/>
      </c>
      <c r="D157" s="16"/>
      <c r="E157" s="16"/>
      <c r="F157" s="16"/>
      <c r="G157" s="17"/>
      <c r="H157" s="17"/>
      <c r="I157" s="14" t="str">
        <f t="shared" si="13"/>
        <v/>
      </c>
      <c r="J157" s="15" t="str">
        <f t="shared" si="14"/>
        <v/>
      </c>
      <c r="K157" s="16"/>
    </row>
    <row r="158" spans="2:11" x14ac:dyDescent="0.25">
      <c r="B158" s="7" t="str">
        <f t="shared" si="12"/>
        <v/>
      </c>
      <c r="C158" s="8" t="str">
        <f>IF(D158="","",Master_Data!$C$3)</f>
        <v/>
      </c>
      <c r="D158" s="16"/>
      <c r="E158" s="16"/>
      <c r="F158" s="16"/>
      <c r="G158" s="17"/>
      <c r="H158" s="17"/>
      <c r="I158" s="14" t="str">
        <f t="shared" si="13"/>
        <v/>
      </c>
      <c r="J158" s="15" t="str">
        <f t="shared" si="14"/>
        <v/>
      </c>
      <c r="K158" s="16"/>
    </row>
    <row r="159" spans="2:11" x14ac:dyDescent="0.25">
      <c r="B159" s="7" t="str">
        <f t="shared" si="12"/>
        <v/>
      </c>
      <c r="C159" s="8" t="str">
        <f>IF(D159="","",Master_Data!$C$3)</f>
        <v/>
      </c>
      <c r="D159" s="16"/>
      <c r="E159" s="16"/>
      <c r="F159" s="16"/>
      <c r="G159" s="17"/>
      <c r="H159" s="17"/>
      <c r="I159" s="14" t="str">
        <f t="shared" si="13"/>
        <v/>
      </c>
      <c r="J159" s="15" t="str">
        <f t="shared" si="14"/>
        <v/>
      </c>
      <c r="K159" s="16"/>
    </row>
    <row r="160" spans="2:11" x14ac:dyDescent="0.25">
      <c r="B160" s="7" t="str">
        <f t="shared" si="12"/>
        <v/>
      </c>
      <c r="C160" s="8" t="str">
        <f>IF(D160="","",Master_Data!$C$3)</f>
        <v/>
      </c>
      <c r="D160" s="16"/>
      <c r="E160" s="16"/>
      <c r="F160" s="16"/>
      <c r="G160" s="17"/>
      <c r="H160" s="17"/>
      <c r="I160" s="14" t="str">
        <f t="shared" si="13"/>
        <v/>
      </c>
      <c r="J160" s="15" t="str">
        <f t="shared" si="14"/>
        <v/>
      </c>
      <c r="K160" s="16"/>
    </row>
    <row r="161" spans="2:11" x14ac:dyDescent="0.25">
      <c r="B161" s="7" t="str">
        <f t="shared" si="12"/>
        <v/>
      </c>
      <c r="C161" s="8" t="str">
        <f>IF(D161="","",Master_Data!$C$3)</f>
        <v/>
      </c>
      <c r="D161" s="16"/>
      <c r="E161" s="16"/>
      <c r="F161" s="16"/>
      <c r="G161" s="17"/>
      <c r="H161" s="17"/>
      <c r="I161" s="14" t="str">
        <f t="shared" si="13"/>
        <v/>
      </c>
      <c r="J161" s="15" t="str">
        <f t="shared" si="14"/>
        <v/>
      </c>
      <c r="K161" s="16"/>
    </row>
    <row r="162" spans="2:11" x14ac:dyDescent="0.25">
      <c r="B162" s="7" t="str">
        <f t="shared" si="12"/>
        <v/>
      </c>
      <c r="C162" s="8" t="str">
        <f>IF(D162="","",Master_Data!$C$3)</f>
        <v/>
      </c>
      <c r="D162" s="16"/>
      <c r="E162" s="16"/>
      <c r="F162" s="16"/>
      <c r="G162" s="17"/>
      <c r="H162" s="17"/>
      <c r="I162" s="14" t="str">
        <f t="shared" si="13"/>
        <v/>
      </c>
      <c r="J162" s="15" t="str">
        <f t="shared" si="14"/>
        <v/>
      </c>
      <c r="K162" s="16"/>
    </row>
    <row r="163" spans="2:11" x14ac:dyDescent="0.25">
      <c r="B163" s="7" t="str">
        <f t="shared" si="12"/>
        <v/>
      </c>
      <c r="C163" s="8" t="str">
        <f>IF(D163="","",Master_Data!$C$3)</f>
        <v/>
      </c>
      <c r="D163" s="16"/>
      <c r="E163" s="16"/>
      <c r="F163" s="16"/>
      <c r="G163" s="17"/>
      <c r="H163" s="17"/>
      <c r="I163" s="14" t="str">
        <f t="shared" si="13"/>
        <v/>
      </c>
      <c r="J163" s="15" t="str">
        <f t="shared" si="14"/>
        <v/>
      </c>
      <c r="K163" s="16"/>
    </row>
    <row r="164" spans="2:11" x14ac:dyDescent="0.25">
      <c r="B164" s="7" t="str">
        <f t="shared" si="12"/>
        <v/>
      </c>
      <c r="C164" s="8" t="str">
        <f>IF(D164="","",Master_Data!$C$3)</f>
        <v/>
      </c>
      <c r="D164" s="16"/>
      <c r="E164" s="16"/>
      <c r="F164" s="16"/>
      <c r="G164" s="17"/>
      <c r="H164" s="17"/>
      <c r="I164" s="14" t="str">
        <f t="shared" si="13"/>
        <v/>
      </c>
      <c r="J164" s="15" t="str">
        <f t="shared" si="14"/>
        <v/>
      </c>
      <c r="K164" s="16"/>
    </row>
    <row r="165" spans="2:11" x14ac:dyDescent="0.25">
      <c r="B165" s="7" t="str">
        <f t="shared" si="12"/>
        <v/>
      </c>
      <c r="C165" s="8" t="str">
        <f>IF(D165="","",Master_Data!$C$3)</f>
        <v/>
      </c>
      <c r="D165" s="16"/>
      <c r="E165" s="16"/>
      <c r="F165" s="16"/>
      <c r="G165" s="17"/>
      <c r="H165" s="17"/>
      <c r="I165" s="14" t="str">
        <f t="shared" si="13"/>
        <v/>
      </c>
      <c r="J165" s="15" t="str">
        <f t="shared" si="14"/>
        <v/>
      </c>
      <c r="K165" s="16"/>
    </row>
    <row r="166" spans="2:11" x14ac:dyDescent="0.25">
      <c r="B166" s="7" t="str">
        <f t="shared" ref="B166:B197" si="15">IF(D166="","",ROW()-5)</f>
        <v/>
      </c>
      <c r="C166" s="8" t="str">
        <f>IF(D166="","",Master_Data!$C$3)</f>
        <v/>
      </c>
      <c r="D166" s="16"/>
      <c r="E166" s="16"/>
      <c r="F166" s="16"/>
      <c r="G166" s="17"/>
      <c r="H166" s="17"/>
      <c r="I166" s="14" t="str">
        <f t="shared" ref="I166:I197" si="16">IF(G166="","",G166-H166)</f>
        <v/>
      </c>
      <c r="J166" s="15" t="str">
        <f t="shared" ref="J166:J197" si="17">IF(OR(G166="",G166=0),"",H166/G166)</f>
        <v/>
      </c>
      <c r="K166" s="16"/>
    </row>
    <row r="167" spans="2:11" x14ac:dyDescent="0.25">
      <c r="B167" s="7" t="str">
        <f t="shared" si="15"/>
        <v/>
      </c>
      <c r="C167" s="8" t="str">
        <f>IF(D167="","",Master_Data!$C$3)</f>
        <v/>
      </c>
      <c r="D167" s="16"/>
      <c r="E167" s="16"/>
      <c r="F167" s="16"/>
      <c r="G167" s="17"/>
      <c r="H167" s="17"/>
      <c r="I167" s="14" t="str">
        <f t="shared" si="16"/>
        <v/>
      </c>
      <c r="J167" s="15" t="str">
        <f t="shared" si="17"/>
        <v/>
      </c>
      <c r="K167" s="16"/>
    </row>
    <row r="168" spans="2:11" x14ac:dyDescent="0.25">
      <c r="B168" s="7" t="str">
        <f t="shared" si="15"/>
        <v/>
      </c>
      <c r="C168" s="8" t="str">
        <f>IF(D168="","",Master_Data!$C$3)</f>
        <v/>
      </c>
      <c r="D168" s="16"/>
      <c r="E168" s="16"/>
      <c r="F168" s="16"/>
      <c r="G168" s="17"/>
      <c r="H168" s="17"/>
      <c r="I168" s="14" t="str">
        <f t="shared" si="16"/>
        <v/>
      </c>
      <c r="J168" s="15" t="str">
        <f t="shared" si="17"/>
        <v/>
      </c>
      <c r="K168" s="16"/>
    </row>
    <row r="169" spans="2:11" x14ac:dyDescent="0.25">
      <c r="B169" s="7" t="str">
        <f t="shared" si="15"/>
        <v/>
      </c>
      <c r="C169" s="8" t="str">
        <f>IF(D169="","",Master_Data!$C$3)</f>
        <v/>
      </c>
      <c r="D169" s="16"/>
      <c r="E169" s="16"/>
      <c r="F169" s="16"/>
      <c r="G169" s="17"/>
      <c r="H169" s="17"/>
      <c r="I169" s="14" t="str">
        <f t="shared" si="16"/>
        <v/>
      </c>
      <c r="J169" s="15" t="str">
        <f t="shared" si="17"/>
        <v/>
      </c>
      <c r="K169" s="16"/>
    </row>
    <row r="170" spans="2:11" x14ac:dyDescent="0.25">
      <c r="B170" s="7" t="str">
        <f t="shared" si="15"/>
        <v/>
      </c>
      <c r="C170" s="8" t="str">
        <f>IF(D170="","",Master_Data!$C$3)</f>
        <v/>
      </c>
      <c r="D170" s="16"/>
      <c r="E170" s="16"/>
      <c r="F170" s="16"/>
      <c r="G170" s="17"/>
      <c r="H170" s="17"/>
      <c r="I170" s="14" t="str">
        <f t="shared" si="16"/>
        <v/>
      </c>
      <c r="J170" s="15" t="str">
        <f t="shared" si="17"/>
        <v/>
      </c>
      <c r="K170" s="16"/>
    </row>
    <row r="171" spans="2:11" x14ac:dyDescent="0.25">
      <c r="B171" s="7" t="str">
        <f t="shared" si="15"/>
        <v/>
      </c>
      <c r="C171" s="8" t="str">
        <f>IF(D171="","",Master_Data!$C$3)</f>
        <v/>
      </c>
      <c r="D171" s="16"/>
      <c r="E171" s="16"/>
      <c r="F171" s="16"/>
      <c r="G171" s="17"/>
      <c r="H171" s="17"/>
      <c r="I171" s="14" t="str">
        <f t="shared" si="16"/>
        <v/>
      </c>
      <c r="J171" s="15" t="str">
        <f t="shared" si="17"/>
        <v/>
      </c>
      <c r="K171" s="16"/>
    </row>
    <row r="172" spans="2:11" x14ac:dyDescent="0.25">
      <c r="B172" s="7" t="str">
        <f t="shared" si="15"/>
        <v/>
      </c>
      <c r="C172" s="8" t="str">
        <f>IF(D172="","",Master_Data!$C$3)</f>
        <v/>
      </c>
      <c r="D172" s="16"/>
      <c r="E172" s="16"/>
      <c r="F172" s="16"/>
      <c r="G172" s="17"/>
      <c r="H172" s="17"/>
      <c r="I172" s="14" t="str">
        <f t="shared" si="16"/>
        <v/>
      </c>
      <c r="J172" s="15" t="str">
        <f t="shared" si="17"/>
        <v/>
      </c>
      <c r="K172" s="16"/>
    </row>
    <row r="173" spans="2:11" x14ac:dyDescent="0.25">
      <c r="B173" s="7" t="str">
        <f t="shared" si="15"/>
        <v/>
      </c>
      <c r="C173" s="8" t="str">
        <f>IF(D173="","",Master_Data!$C$3)</f>
        <v/>
      </c>
      <c r="D173" s="16"/>
      <c r="E173" s="16"/>
      <c r="F173" s="16"/>
      <c r="G173" s="17"/>
      <c r="H173" s="17"/>
      <c r="I173" s="14" t="str">
        <f t="shared" si="16"/>
        <v/>
      </c>
      <c r="J173" s="15" t="str">
        <f t="shared" si="17"/>
        <v/>
      </c>
      <c r="K173" s="16"/>
    </row>
    <row r="174" spans="2:11" x14ac:dyDescent="0.25">
      <c r="B174" s="7" t="str">
        <f t="shared" si="15"/>
        <v/>
      </c>
      <c r="C174" s="8" t="str">
        <f>IF(D174="","",Master_Data!$C$3)</f>
        <v/>
      </c>
      <c r="D174" s="16"/>
      <c r="E174" s="16"/>
      <c r="F174" s="16"/>
      <c r="G174" s="17"/>
      <c r="H174" s="17"/>
      <c r="I174" s="14" t="str">
        <f t="shared" si="16"/>
        <v/>
      </c>
      <c r="J174" s="15" t="str">
        <f t="shared" si="17"/>
        <v/>
      </c>
      <c r="K174" s="16"/>
    </row>
    <row r="175" spans="2:11" x14ac:dyDescent="0.25">
      <c r="B175" s="7" t="str">
        <f t="shared" si="15"/>
        <v/>
      </c>
      <c r="C175" s="8" t="str">
        <f>IF(D175="","",Master_Data!$C$3)</f>
        <v/>
      </c>
      <c r="D175" s="16"/>
      <c r="E175" s="16"/>
      <c r="F175" s="16"/>
      <c r="G175" s="17"/>
      <c r="H175" s="17"/>
      <c r="I175" s="14" t="str">
        <f t="shared" si="16"/>
        <v/>
      </c>
      <c r="J175" s="15" t="str">
        <f t="shared" si="17"/>
        <v/>
      </c>
      <c r="K175" s="16"/>
    </row>
    <row r="176" spans="2:11" x14ac:dyDescent="0.25">
      <c r="B176" s="7" t="str">
        <f t="shared" si="15"/>
        <v/>
      </c>
      <c r="C176" s="8" t="str">
        <f>IF(D176="","",Master_Data!$C$3)</f>
        <v/>
      </c>
      <c r="D176" s="16"/>
      <c r="E176" s="16"/>
      <c r="F176" s="16"/>
      <c r="G176" s="17"/>
      <c r="H176" s="17"/>
      <c r="I176" s="14" t="str">
        <f t="shared" si="16"/>
        <v/>
      </c>
      <c r="J176" s="15" t="str">
        <f t="shared" si="17"/>
        <v/>
      </c>
      <c r="K176" s="16"/>
    </row>
    <row r="177" spans="2:11" x14ac:dyDescent="0.25">
      <c r="B177" s="7" t="str">
        <f t="shared" si="15"/>
        <v/>
      </c>
      <c r="C177" s="8" t="str">
        <f>IF(D177="","",Master_Data!$C$3)</f>
        <v/>
      </c>
      <c r="D177" s="16"/>
      <c r="E177" s="16"/>
      <c r="F177" s="16"/>
      <c r="G177" s="17"/>
      <c r="H177" s="17"/>
      <c r="I177" s="14" t="str">
        <f t="shared" si="16"/>
        <v/>
      </c>
      <c r="J177" s="15" t="str">
        <f t="shared" si="17"/>
        <v/>
      </c>
      <c r="K177" s="16"/>
    </row>
    <row r="178" spans="2:11" x14ac:dyDescent="0.25">
      <c r="B178" s="7" t="str">
        <f t="shared" si="15"/>
        <v/>
      </c>
      <c r="C178" s="8" t="str">
        <f>IF(D178="","",Master_Data!$C$3)</f>
        <v/>
      </c>
      <c r="D178" s="16"/>
      <c r="E178" s="16"/>
      <c r="F178" s="16"/>
      <c r="G178" s="17"/>
      <c r="H178" s="17"/>
      <c r="I178" s="14" t="str">
        <f t="shared" si="16"/>
        <v/>
      </c>
      <c r="J178" s="15" t="str">
        <f t="shared" si="17"/>
        <v/>
      </c>
      <c r="K178" s="16"/>
    </row>
    <row r="179" spans="2:11" x14ac:dyDescent="0.25">
      <c r="B179" s="7" t="str">
        <f t="shared" si="15"/>
        <v/>
      </c>
      <c r="C179" s="8" t="str">
        <f>IF(D179="","",Master_Data!$C$3)</f>
        <v/>
      </c>
      <c r="D179" s="16"/>
      <c r="E179" s="16"/>
      <c r="F179" s="16"/>
      <c r="G179" s="17"/>
      <c r="H179" s="17"/>
      <c r="I179" s="14" t="str">
        <f t="shared" si="16"/>
        <v/>
      </c>
      <c r="J179" s="15" t="str">
        <f t="shared" si="17"/>
        <v/>
      </c>
      <c r="K179" s="16"/>
    </row>
    <row r="180" spans="2:11" x14ac:dyDescent="0.25">
      <c r="B180" s="7" t="str">
        <f t="shared" si="15"/>
        <v/>
      </c>
      <c r="C180" s="8" t="str">
        <f>IF(D180="","",Master_Data!$C$3)</f>
        <v/>
      </c>
      <c r="D180" s="16"/>
      <c r="E180" s="16"/>
      <c r="F180" s="16"/>
      <c r="G180" s="17"/>
      <c r="H180" s="17"/>
      <c r="I180" s="14" t="str">
        <f t="shared" si="16"/>
        <v/>
      </c>
      <c r="J180" s="15" t="str">
        <f t="shared" si="17"/>
        <v/>
      </c>
      <c r="K180" s="16"/>
    </row>
    <row r="181" spans="2:11" x14ac:dyDescent="0.25">
      <c r="B181" s="7" t="str">
        <f t="shared" si="15"/>
        <v/>
      </c>
      <c r="C181" s="8" t="str">
        <f>IF(D181="","",Master_Data!$C$3)</f>
        <v/>
      </c>
      <c r="D181" s="16"/>
      <c r="E181" s="16"/>
      <c r="F181" s="16"/>
      <c r="G181" s="17"/>
      <c r="H181" s="17"/>
      <c r="I181" s="14" t="str">
        <f t="shared" si="16"/>
        <v/>
      </c>
      <c r="J181" s="15" t="str">
        <f t="shared" si="17"/>
        <v/>
      </c>
      <c r="K181" s="16"/>
    </row>
    <row r="182" spans="2:11" x14ac:dyDescent="0.25">
      <c r="B182" s="7" t="str">
        <f t="shared" si="15"/>
        <v/>
      </c>
      <c r="C182" s="8" t="str">
        <f>IF(D182="","",Master_Data!$C$3)</f>
        <v/>
      </c>
      <c r="D182" s="16"/>
      <c r="E182" s="16"/>
      <c r="F182" s="16"/>
      <c r="G182" s="17"/>
      <c r="H182" s="17"/>
      <c r="I182" s="14" t="str">
        <f t="shared" si="16"/>
        <v/>
      </c>
      <c r="J182" s="15" t="str">
        <f t="shared" si="17"/>
        <v/>
      </c>
      <c r="K182" s="16"/>
    </row>
    <row r="183" spans="2:11" x14ac:dyDescent="0.25">
      <c r="B183" s="7" t="str">
        <f t="shared" si="15"/>
        <v/>
      </c>
      <c r="C183" s="8" t="str">
        <f>IF(D183="","",Master_Data!$C$3)</f>
        <v/>
      </c>
      <c r="D183" s="16"/>
      <c r="E183" s="16"/>
      <c r="F183" s="16"/>
      <c r="G183" s="17"/>
      <c r="H183" s="17"/>
      <c r="I183" s="14" t="str">
        <f t="shared" si="16"/>
        <v/>
      </c>
      <c r="J183" s="15" t="str">
        <f t="shared" si="17"/>
        <v/>
      </c>
      <c r="K183" s="16"/>
    </row>
    <row r="184" spans="2:11" x14ac:dyDescent="0.25">
      <c r="B184" s="7" t="str">
        <f t="shared" si="15"/>
        <v/>
      </c>
      <c r="C184" s="8" t="str">
        <f>IF(D184="","",Master_Data!$C$3)</f>
        <v/>
      </c>
      <c r="D184" s="16"/>
      <c r="E184" s="16"/>
      <c r="F184" s="16"/>
      <c r="G184" s="17"/>
      <c r="H184" s="17"/>
      <c r="I184" s="14" t="str">
        <f t="shared" si="16"/>
        <v/>
      </c>
      <c r="J184" s="15" t="str">
        <f t="shared" si="17"/>
        <v/>
      </c>
      <c r="K184" s="16"/>
    </row>
    <row r="185" spans="2:11" x14ac:dyDescent="0.25">
      <c r="B185" s="7" t="str">
        <f t="shared" si="15"/>
        <v/>
      </c>
      <c r="C185" s="8" t="str">
        <f>IF(D185="","",Master_Data!$C$3)</f>
        <v/>
      </c>
      <c r="D185" s="16"/>
      <c r="E185" s="16"/>
      <c r="F185" s="16"/>
      <c r="G185" s="17"/>
      <c r="H185" s="17"/>
      <c r="I185" s="14" t="str">
        <f t="shared" si="16"/>
        <v/>
      </c>
      <c r="J185" s="15" t="str">
        <f t="shared" si="17"/>
        <v/>
      </c>
      <c r="K185" s="16"/>
    </row>
    <row r="186" spans="2:11" x14ac:dyDescent="0.25">
      <c r="B186" s="7" t="str">
        <f t="shared" si="15"/>
        <v/>
      </c>
      <c r="C186" s="8" t="str">
        <f>IF(D186="","",Master_Data!$C$3)</f>
        <v/>
      </c>
      <c r="D186" s="16"/>
      <c r="E186" s="16"/>
      <c r="F186" s="16"/>
      <c r="G186" s="17"/>
      <c r="H186" s="17"/>
      <c r="I186" s="14" t="str">
        <f t="shared" si="16"/>
        <v/>
      </c>
      <c r="J186" s="15" t="str">
        <f t="shared" si="17"/>
        <v/>
      </c>
      <c r="K186" s="16"/>
    </row>
    <row r="187" spans="2:11" x14ac:dyDescent="0.25">
      <c r="B187" s="7" t="str">
        <f t="shared" si="15"/>
        <v/>
      </c>
      <c r="C187" s="8" t="str">
        <f>IF(D187="","",Master_Data!$C$3)</f>
        <v/>
      </c>
      <c r="D187" s="16"/>
      <c r="E187" s="16"/>
      <c r="F187" s="16"/>
      <c r="G187" s="17"/>
      <c r="H187" s="17"/>
      <c r="I187" s="14" t="str">
        <f t="shared" si="16"/>
        <v/>
      </c>
      <c r="J187" s="15" t="str">
        <f t="shared" si="17"/>
        <v/>
      </c>
      <c r="K187" s="16"/>
    </row>
    <row r="188" spans="2:11" x14ac:dyDescent="0.25">
      <c r="B188" s="7" t="str">
        <f t="shared" si="15"/>
        <v/>
      </c>
      <c r="C188" s="8" t="str">
        <f>IF(D188="","",Master_Data!$C$3)</f>
        <v/>
      </c>
      <c r="D188" s="16"/>
      <c r="E188" s="16"/>
      <c r="F188" s="16"/>
      <c r="G188" s="17"/>
      <c r="H188" s="17"/>
      <c r="I188" s="14" t="str">
        <f t="shared" si="16"/>
        <v/>
      </c>
      <c r="J188" s="15" t="str">
        <f t="shared" si="17"/>
        <v/>
      </c>
      <c r="K188" s="16"/>
    </row>
    <row r="189" spans="2:11" x14ac:dyDescent="0.25">
      <c r="B189" s="7" t="str">
        <f t="shared" si="15"/>
        <v/>
      </c>
      <c r="C189" s="8" t="str">
        <f>IF(D189="","",Master_Data!$C$3)</f>
        <v/>
      </c>
      <c r="D189" s="16"/>
      <c r="E189" s="16"/>
      <c r="F189" s="16"/>
      <c r="G189" s="17"/>
      <c r="H189" s="17"/>
      <c r="I189" s="14" t="str">
        <f t="shared" si="16"/>
        <v/>
      </c>
      <c r="J189" s="15" t="str">
        <f t="shared" si="17"/>
        <v/>
      </c>
      <c r="K189" s="16"/>
    </row>
    <row r="190" spans="2:11" x14ac:dyDescent="0.25">
      <c r="B190" s="7" t="str">
        <f t="shared" si="15"/>
        <v/>
      </c>
      <c r="C190" s="8" t="str">
        <f>IF(D190="","",Master_Data!$C$3)</f>
        <v/>
      </c>
      <c r="D190" s="16"/>
      <c r="E190" s="16"/>
      <c r="F190" s="16"/>
      <c r="G190" s="17"/>
      <c r="H190" s="17"/>
      <c r="I190" s="14" t="str">
        <f t="shared" si="16"/>
        <v/>
      </c>
      <c r="J190" s="15" t="str">
        <f t="shared" si="17"/>
        <v/>
      </c>
      <c r="K190" s="16"/>
    </row>
    <row r="191" spans="2:11" x14ac:dyDescent="0.25">
      <c r="B191" s="7" t="str">
        <f t="shared" si="15"/>
        <v/>
      </c>
      <c r="C191" s="8" t="str">
        <f>IF(D191="","",Master_Data!$C$3)</f>
        <v/>
      </c>
      <c r="D191" s="16"/>
      <c r="E191" s="16"/>
      <c r="F191" s="16"/>
      <c r="G191" s="17"/>
      <c r="H191" s="17"/>
      <c r="I191" s="14" t="str">
        <f t="shared" si="16"/>
        <v/>
      </c>
      <c r="J191" s="15" t="str">
        <f t="shared" si="17"/>
        <v/>
      </c>
      <c r="K191" s="16"/>
    </row>
    <row r="192" spans="2:11" x14ac:dyDescent="0.25">
      <c r="B192" s="7" t="str">
        <f t="shared" si="15"/>
        <v/>
      </c>
      <c r="C192" s="8" t="str">
        <f>IF(D192="","",Master_Data!$C$3)</f>
        <v/>
      </c>
      <c r="D192" s="16"/>
      <c r="E192" s="16"/>
      <c r="F192" s="16"/>
      <c r="G192" s="17"/>
      <c r="H192" s="17"/>
      <c r="I192" s="14" t="str">
        <f t="shared" si="16"/>
        <v/>
      </c>
      <c r="J192" s="15" t="str">
        <f t="shared" si="17"/>
        <v/>
      </c>
      <c r="K192" s="16"/>
    </row>
    <row r="193" spans="2:11" x14ac:dyDescent="0.25">
      <c r="B193" s="7" t="str">
        <f t="shared" si="15"/>
        <v/>
      </c>
      <c r="C193" s="8" t="str">
        <f>IF(D193="","",Master_Data!$C$3)</f>
        <v/>
      </c>
      <c r="D193" s="16"/>
      <c r="E193" s="16"/>
      <c r="F193" s="16"/>
      <c r="G193" s="17"/>
      <c r="H193" s="17"/>
      <c r="I193" s="14" t="str">
        <f t="shared" si="16"/>
        <v/>
      </c>
      <c r="J193" s="15" t="str">
        <f t="shared" si="17"/>
        <v/>
      </c>
      <c r="K193" s="16"/>
    </row>
    <row r="194" spans="2:11" x14ac:dyDescent="0.25">
      <c r="B194" s="7" t="str">
        <f t="shared" si="15"/>
        <v/>
      </c>
      <c r="C194" s="8" t="str">
        <f>IF(D194="","",Master_Data!$C$3)</f>
        <v/>
      </c>
      <c r="D194" s="16"/>
      <c r="E194" s="16"/>
      <c r="F194" s="16"/>
      <c r="G194" s="17"/>
      <c r="H194" s="17"/>
      <c r="I194" s="14" t="str">
        <f t="shared" si="16"/>
        <v/>
      </c>
      <c r="J194" s="15" t="str">
        <f t="shared" si="17"/>
        <v/>
      </c>
      <c r="K194" s="16"/>
    </row>
    <row r="195" spans="2:11" x14ac:dyDescent="0.25">
      <c r="B195" s="7" t="str">
        <f t="shared" si="15"/>
        <v/>
      </c>
      <c r="C195" s="8" t="str">
        <f>IF(D195="","",Master_Data!$C$3)</f>
        <v/>
      </c>
      <c r="D195" s="16"/>
      <c r="E195" s="16"/>
      <c r="F195" s="16"/>
      <c r="G195" s="17"/>
      <c r="H195" s="17"/>
      <c r="I195" s="14" t="str">
        <f t="shared" si="16"/>
        <v/>
      </c>
      <c r="J195" s="15" t="str">
        <f t="shared" si="17"/>
        <v/>
      </c>
      <c r="K195" s="16"/>
    </row>
    <row r="196" spans="2:11" x14ac:dyDescent="0.25">
      <c r="B196" s="7" t="str">
        <f t="shared" si="15"/>
        <v/>
      </c>
      <c r="C196" s="8" t="str">
        <f>IF(D196="","",Master_Data!$C$3)</f>
        <v/>
      </c>
      <c r="D196" s="16"/>
      <c r="E196" s="16"/>
      <c r="F196" s="16"/>
      <c r="G196" s="17"/>
      <c r="H196" s="17"/>
      <c r="I196" s="14" t="str">
        <f t="shared" si="16"/>
        <v/>
      </c>
      <c r="J196" s="15" t="str">
        <f t="shared" si="17"/>
        <v/>
      </c>
      <c r="K196" s="16"/>
    </row>
    <row r="197" spans="2:11" x14ac:dyDescent="0.25">
      <c r="B197" s="7" t="str">
        <f t="shared" si="15"/>
        <v/>
      </c>
      <c r="C197" s="8" t="str">
        <f>IF(D197="","",Master_Data!$C$3)</f>
        <v/>
      </c>
      <c r="D197" s="16"/>
      <c r="E197" s="16"/>
      <c r="F197" s="16"/>
      <c r="G197" s="17"/>
      <c r="H197" s="17"/>
      <c r="I197" s="14" t="str">
        <f t="shared" si="16"/>
        <v/>
      </c>
      <c r="J197" s="15" t="str">
        <f t="shared" si="17"/>
        <v/>
      </c>
      <c r="K197" s="16"/>
    </row>
    <row r="198" spans="2:11" x14ac:dyDescent="0.25">
      <c r="B198" s="7" t="str">
        <f t="shared" ref="B198:B205" si="18">IF(D198="","",ROW()-5)</f>
        <v/>
      </c>
      <c r="C198" s="8" t="str">
        <f>IF(D198="","",Master_Data!$C$3)</f>
        <v/>
      </c>
      <c r="D198" s="16"/>
      <c r="E198" s="16"/>
      <c r="F198" s="16"/>
      <c r="G198" s="17"/>
      <c r="H198" s="17"/>
      <c r="I198" s="14" t="str">
        <f t="shared" ref="I198:I205" si="19">IF(G198="","",G198-H198)</f>
        <v/>
      </c>
      <c r="J198" s="15" t="str">
        <f t="shared" ref="J198:J205" si="20">IF(OR(G198="",G198=0),"",H198/G198)</f>
        <v/>
      </c>
      <c r="K198" s="16"/>
    </row>
    <row r="199" spans="2:11" x14ac:dyDescent="0.25">
      <c r="B199" s="7" t="str">
        <f t="shared" si="18"/>
        <v/>
      </c>
      <c r="C199" s="8" t="str">
        <f>IF(D199="","",Master_Data!$C$3)</f>
        <v/>
      </c>
      <c r="D199" s="16"/>
      <c r="E199" s="16"/>
      <c r="F199" s="16"/>
      <c r="G199" s="17"/>
      <c r="H199" s="17"/>
      <c r="I199" s="14" t="str">
        <f t="shared" si="19"/>
        <v/>
      </c>
      <c r="J199" s="15" t="str">
        <f t="shared" si="20"/>
        <v/>
      </c>
      <c r="K199" s="16"/>
    </row>
    <row r="200" spans="2:11" x14ac:dyDescent="0.25">
      <c r="B200" s="7" t="str">
        <f t="shared" si="18"/>
        <v/>
      </c>
      <c r="C200" s="8" t="str">
        <f>IF(D200="","",Master_Data!$C$3)</f>
        <v/>
      </c>
      <c r="D200" s="16"/>
      <c r="E200" s="16"/>
      <c r="F200" s="16"/>
      <c r="G200" s="17"/>
      <c r="H200" s="17"/>
      <c r="I200" s="14" t="str">
        <f t="shared" si="19"/>
        <v/>
      </c>
      <c r="J200" s="15" t="str">
        <f t="shared" si="20"/>
        <v/>
      </c>
      <c r="K200" s="16"/>
    </row>
    <row r="201" spans="2:11" x14ac:dyDescent="0.25">
      <c r="B201" s="7" t="str">
        <f t="shared" si="18"/>
        <v/>
      </c>
      <c r="C201" s="8" t="str">
        <f>IF(D201="","",Master_Data!$C$3)</f>
        <v/>
      </c>
      <c r="D201" s="16"/>
      <c r="E201" s="16"/>
      <c r="F201" s="16"/>
      <c r="G201" s="17"/>
      <c r="H201" s="17"/>
      <c r="I201" s="14" t="str">
        <f t="shared" si="19"/>
        <v/>
      </c>
      <c r="J201" s="15" t="str">
        <f t="shared" si="20"/>
        <v/>
      </c>
      <c r="K201" s="16"/>
    </row>
    <row r="202" spans="2:11" x14ac:dyDescent="0.25">
      <c r="B202" s="7" t="str">
        <f t="shared" si="18"/>
        <v/>
      </c>
      <c r="C202" s="8" t="str">
        <f>IF(D202="","",Master_Data!$C$3)</f>
        <v/>
      </c>
      <c r="D202" s="16"/>
      <c r="E202" s="16"/>
      <c r="F202" s="16"/>
      <c r="G202" s="17"/>
      <c r="H202" s="17"/>
      <c r="I202" s="14" t="str">
        <f t="shared" si="19"/>
        <v/>
      </c>
      <c r="J202" s="15" t="str">
        <f t="shared" si="20"/>
        <v/>
      </c>
      <c r="K202" s="16"/>
    </row>
    <row r="203" spans="2:11" x14ac:dyDescent="0.25">
      <c r="B203" s="7" t="str">
        <f t="shared" si="18"/>
        <v/>
      </c>
      <c r="C203" s="8" t="str">
        <f>IF(D203="","",Master_Data!$C$3)</f>
        <v/>
      </c>
      <c r="D203" s="16"/>
      <c r="E203" s="16"/>
      <c r="F203" s="16"/>
      <c r="G203" s="17"/>
      <c r="H203" s="17"/>
      <c r="I203" s="14" t="str">
        <f t="shared" si="19"/>
        <v/>
      </c>
      <c r="J203" s="15" t="str">
        <f t="shared" si="20"/>
        <v/>
      </c>
      <c r="K203" s="16"/>
    </row>
    <row r="204" spans="2:11" x14ac:dyDescent="0.25">
      <c r="B204" s="7" t="str">
        <f t="shared" si="18"/>
        <v/>
      </c>
      <c r="C204" s="8" t="str">
        <f>IF(D204="","",Master_Data!$C$3)</f>
        <v/>
      </c>
      <c r="D204" s="16"/>
      <c r="E204" s="16"/>
      <c r="F204" s="16"/>
      <c r="G204" s="17"/>
      <c r="H204" s="17"/>
      <c r="I204" s="14" t="str">
        <f t="shared" si="19"/>
        <v/>
      </c>
      <c r="J204" s="15" t="str">
        <f t="shared" si="20"/>
        <v/>
      </c>
      <c r="K204" s="16"/>
    </row>
    <row r="205" spans="2:11" x14ac:dyDescent="0.25">
      <c r="B205" s="7" t="str">
        <f t="shared" si="18"/>
        <v/>
      </c>
      <c r="C205" s="8" t="str">
        <f>IF(D205="","",Master_Data!$C$3)</f>
        <v/>
      </c>
      <c r="D205" s="16"/>
      <c r="E205" s="16"/>
      <c r="F205" s="16"/>
      <c r="G205" s="17"/>
      <c r="H205" s="17"/>
      <c r="I205" s="14" t="str">
        <f t="shared" si="19"/>
        <v/>
      </c>
      <c r="J205" s="15" t="str">
        <f t="shared" si="20"/>
        <v/>
      </c>
      <c r="K205" s="16"/>
    </row>
    <row r="206" spans="2:11" ht="15" customHeight="1" x14ac:dyDescent="0.25">
      <c r="B206" s="44" t="s">
        <v>85</v>
      </c>
      <c r="C206" s="44"/>
      <c r="D206" s="44"/>
      <c r="E206" s="44"/>
      <c r="F206" s="44"/>
      <c r="G206" s="18">
        <f>SUM(G6:G205)</f>
        <v>176659376</v>
      </c>
      <c r="H206" s="18">
        <f>SUM(H6:H205)</f>
        <v>56251194.989999995</v>
      </c>
      <c r="I206" s="18">
        <f>SUM(I6:I205)</f>
        <v>120408181.01000001</v>
      </c>
      <c r="J206" s="19">
        <f>IF(G206=0,0,H206/G206)</f>
        <v>0.31841613088229176</v>
      </c>
      <c r="K206" s="20"/>
    </row>
  </sheetData>
  <mergeCells count="3">
    <mergeCell ref="B2:J2"/>
    <mergeCell ref="B3:J3"/>
    <mergeCell ref="B206:F206"/>
  </mergeCells>
  <conditionalFormatting sqref="J6:J205">
    <cfRule type="colorScale" priority="2">
      <colorScale>
        <cfvo type="num" val="0"/>
        <cfvo type="num" val="0.7"/>
        <cfvo type="num" val="1"/>
        <color rgb="FF63BE7B"/>
        <color rgb="FFFFEB84"/>
        <color rgb="FFF8696B"/>
      </colorScale>
    </cfRule>
  </conditionalFormatting>
  <dataValidations count="2">
    <dataValidation type="list" allowBlank="1" sqref="D6:D205" xr:uid="{00000000-0002-0000-0300-000000000000}">
      <formula1>Units</formula1>
      <formula2>0</formula2>
    </dataValidation>
    <dataValidation type="list" allowBlank="1" sqref="E6:E205" xr:uid="{00000000-0002-0000-0300-000001000000}">
      <formula1>ExpenseCats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V19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F8" sqref="F8"/>
    </sheetView>
  </sheetViews>
  <sheetFormatPr defaultColWidth="8.7109375" defaultRowHeight="15" x14ac:dyDescent="0.25"/>
  <cols>
    <col min="1" max="1" width="2" customWidth="1"/>
    <col min="2" max="2" width="10" customWidth="1"/>
    <col min="3" max="3" width="14" customWidth="1"/>
    <col min="4" max="9" width="18" customWidth="1"/>
    <col min="14" max="14" width="13.28515625" bestFit="1" customWidth="1"/>
    <col min="15" max="22" width="15.28515625" bestFit="1" customWidth="1"/>
  </cols>
  <sheetData>
    <row r="2" spans="2:22" ht="19.5" x14ac:dyDescent="0.25">
      <c r="B2" s="41" t="s">
        <v>105</v>
      </c>
      <c r="C2" s="41"/>
      <c r="D2" s="41"/>
      <c r="E2" s="41"/>
      <c r="F2" s="41"/>
      <c r="G2" s="41"/>
      <c r="H2" s="41"/>
      <c r="I2" s="41"/>
    </row>
    <row r="3" spans="2:22" x14ac:dyDescent="0.25">
      <c r="B3" s="43" t="s">
        <v>106</v>
      </c>
      <c r="C3" s="43"/>
      <c r="D3" s="43"/>
      <c r="E3" s="43"/>
      <c r="F3" s="43"/>
      <c r="G3" s="43"/>
      <c r="H3" s="43"/>
      <c r="I3" s="43"/>
    </row>
    <row r="4" spans="2:22" x14ac:dyDescent="0.25">
      <c r="B4" s="2" t="s">
        <v>73</v>
      </c>
      <c r="C4" s="23">
        <f>Master_Data!C3</f>
        <v>2569</v>
      </c>
    </row>
    <row r="6" spans="2:22" ht="28.5" x14ac:dyDescent="0.25">
      <c r="B6" s="5" t="s">
        <v>107</v>
      </c>
      <c r="C6" s="5" t="s">
        <v>108</v>
      </c>
      <c r="D6" s="5" t="s">
        <v>109</v>
      </c>
      <c r="E6" s="5" t="s">
        <v>110</v>
      </c>
      <c r="F6" s="5" t="s">
        <v>111</v>
      </c>
      <c r="G6" s="5" t="s">
        <v>112</v>
      </c>
      <c r="H6" s="5" t="s">
        <v>113</v>
      </c>
      <c r="I6" s="5" t="s">
        <v>114</v>
      </c>
    </row>
    <row r="7" spans="2:22" x14ac:dyDescent="0.25">
      <c r="B7" s="7">
        <v>10</v>
      </c>
      <c r="C7" s="24" t="s">
        <v>115</v>
      </c>
      <c r="D7" s="38">
        <v>6975741.9900000002</v>
      </c>
      <c r="E7" s="38">
        <v>13400251.43</v>
      </c>
      <c r="F7" s="38">
        <v>144393405.75</v>
      </c>
      <c r="G7" s="38">
        <v>27674990.490000002</v>
      </c>
      <c r="H7" s="14">
        <f>D7-E7</f>
        <v>-6424509.4399999995</v>
      </c>
      <c r="I7" s="14">
        <f>F7+G7</f>
        <v>172068396.24000001</v>
      </c>
    </row>
    <row r="8" spans="2:22" x14ac:dyDescent="0.25">
      <c r="B8" s="7">
        <v>11</v>
      </c>
      <c r="C8" s="24" t="s">
        <v>116</v>
      </c>
      <c r="D8" s="38">
        <v>6865514.4200000009</v>
      </c>
      <c r="E8" s="38">
        <v>17135897.079999998</v>
      </c>
      <c r="F8" s="38">
        <v>134277439.19999999</v>
      </c>
      <c r="G8" s="38">
        <v>27520574.380000003</v>
      </c>
      <c r="H8" s="14">
        <f t="shared" ref="H8:H19" si="0">D8-E8</f>
        <v>-10270382.659999996</v>
      </c>
      <c r="I8" s="14">
        <f t="shared" ref="I8:I19" si="1">F8+G8</f>
        <v>161798013.57999998</v>
      </c>
      <c r="N8" s="38"/>
      <c r="O8" s="38"/>
      <c r="P8" s="38"/>
      <c r="Q8" s="38"/>
      <c r="R8" s="38"/>
      <c r="S8" s="38"/>
      <c r="T8" s="38"/>
      <c r="U8" s="38"/>
    </row>
    <row r="9" spans="2:22" x14ac:dyDescent="0.25">
      <c r="B9" s="7">
        <v>12</v>
      </c>
      <c r="C9" s="24" t="s">
        <v>117</v>
      </c>
      <c r="D9" s="38">
        <v>5731449.7199999997</v>
      </c>
      <c r="E9" s="38">
        <v>12260580.720000001</v>
      </c>
      <c r="F9" s="38">
        <v>125158082.45999999</v>
      </c>
      <c r="G9" s="38">
        <v>30110800.120000001</v>
      </c>
      <c r="H9" s="14">
        <f t="shared" si="0"/>
        <v>-6529131.0000000009</v>
      </c>
      <c r="I9" s="14">
        <f t="shared" si="1"/>
        <v>155268882.57999998</v>
      </c>
      <c r="O9" s="38"/>
      <c r="P9" s="38"/>
      <c r="Q9" s="38"/>
      <c r="R9" s="38"/>
      <c r="S9" s="38"/>
      <c r="T9" s="38"/>
      <c r="U9" s="38"/>
      <c r="V9" s="38"/>
    </row>
    <row r="10" spans="2:22" x14ac:dyDescent="0.25">
      <c r="B10" s="7">
        <v>1</v>
      </c>
      <c r="C10" s="24" t="s">
        <v>118</v>
      </c>
      <c r="D10" s="38">
        <v>14499881.639999999</v>
      </c>
      <c r="E10" s="38">
        <v>15364980.280000001</v>
      </c>
      <c r="F10" s="38">
        <v>124944320.27</v>
      </c>
      <c r="G10" s="38">
        <v>29459463.669999998</v>
      </c>
      <c r="H10" s="14">
        <f t="shared" si="0"/>
        <v>-865098.64000000246</v>
      </c>
      <c r="I10" s="14">
        <f t="shared" si="1"/>
        <v>154403783.94</v>
      </c>
      <c r="O10" s="38"/>
      <c r="P10" s="38"/>
      <c r="Q10" s="38"/>
      <c r="R10" s="38"/>
      <c r="S10" s="38"/>
      <c r="T10" s="38"/>
      <c r="U10" s="38"/>
      <c r="V10" s="38"/>
    </row>
    <row r="11" spans="2:22" x14ac:dyDescent="0.25">
      <c r="B11" s="7">
        <v>2</v>
      </c>
      <c r="C11" s="24" t="s">
        <v>119</v>
      </c>
      <c r="D11" s="38">
        <v>4235099.5600000005</v>
      </c>
      <c r="E11" s="38">
        <v>9296265.4499999993</v>
      </c>
      <c r="F11" s="38">
        <v>119987619.17</v>
      </c>
      <c r="G11" s="38">
        <v>29354998.879999995</v>
      </c>
      <c r="H11" s="14">
        <f t="shared" si="0"/>
        <v>-5061165.8899999987</v>
      </c>
      <c r="I11" s="14">
        <f t="shared" si="1"/>
        <v>149342618.05000001</v>
      </c>
      <c r="O11" s="38"/>
      <c r="P11" s="38"/>
      <c r="Q11" s="38"/>
      <c r="R11" s="38"/>
      <c r="S11" s="38"/>
      <c r="T11" s="38"/>
      <c r="U11" s="38"/>
      <c r="V11" s="38"/>
    </row>
    <row r="12" spans="2:22" x14ac:dyDescent="0.25">
      <c r="B12" s="7">
        <v>3</v>
      </c>
      <c r="C12" s="24" t="s">
        <v>120</v>
      </c>
      <c r="D12" s="38">
        <v>25255972.079999998</v>
      </c>
      <c r="E12" s="38">
        <v>10838931.229999999</v>
      </c>
      <c r="F12" s="38">
        <v>134589258.44</v>
      </c>
      <c r="G12" s="38">
        <v>29170400.459999993</v>
      </c>
      <c r="H12" s="14">
        <f t="shared" si="0"/>
        <v>14417040.85</v>
      </c>
      <c r="I12" s="14">
        <f t="shared" si="1"/>
        <v>163759658.89999998</v>
      </c>
    </row>
    <row r="13" spans="2:22" x14ac:dyDescent="0.25">
      <c r="B13" s="7">
        <v>4</v>
      </c>
      <c r="C13" s="24" t="s">
        <v>121</v>
      </c>
      <c r="D13" s="38">
        <v>21050413.659999996</v>
      </c>
      <c r="E13" s="38">
        <v>5892404.5199999996</v>
      </c>
      <c r="F13" s="38">
        <v>149087761.18000001</v>
      </c>
      <c r="G13" s="38">
        <v>29829906.859999992</v>
      </c>
      <c r="H13" s="14">
        <f t="shared" si="0"/>
        <v>15158009.139999997</v>
      </c>
      <c r="I13" s="14">
        <f t="shared" si="1"/>
        <v>178917668.03999999</v>
      </c>
    </row>
    <row r="14" spans="2:22" x14ac:dyDescent="0.25">
      <c r="B14" s="7">
        <v>5</v>
      </c>
      <c r="C14" s="24" t="s">
        <v>122</v>
      </c>
      <c r="D14" s="38">
        <v>15109798.050000001</v>
      </c>
      <c r="E14" s="38">
        <v>15983680.49</v>
      </c>
      <c r="F14" s="38">
        <v>149154182.69</v>
      </c>
      <c r="G14" s="38">
        <v>28889602.909999989</v>
      </c>
      <c r="H14" s="14">
        <f t="shared" si="0"/>
        <v>-873882.43999999948</v>
      </c>
      <c r="I14" s="14">
        <f t="shared" si="1"/>
        <v>178043785.59999999</v>
      </c>
    </row>
    <row r="15" spans="2:22" x14ac:dyDescent="0.25">
      <c r="B15" s="7">
        <v>6</v>
      </c>
      <c r="C15" s="24" t="s">
        <v>123</v>
      </c>
      <c r="D15" s="25">
        <f>3900000+2273595.28</f>
        <v>6173595.2799999993</v>
      </c>
      <c r="E15" s="21">
        <v>15000000</v>
      </c>
      <c r="F15" s="26">
        <v>133665859.38</v>
      </c>
      <c r="G15" s="26">
        <v>32577549.809999999</v>
      </c>
      <c r="H15" s="14">
        <f t="shared" si="0"/>
        <v>-8826404.7200000007</v>
      </c>
      <c r="I15" s="14">
        <f t="shared" si="1"/>
        <v>166243409.19</v>
      </c>
    </row>
    <row r="16" spans="2:22" x14ac:dyDescent="0.25">
      <c r="B16" s="7">
        <v>7</v>
      </c>
      <c r="C16" s="24" t="s">
        <v>124</v>
      </c>
      <c r="D16" s="25">
        <v>20000000</v>
      </c>
      <c r="E16" s="21">
        <v>12000000</v>
      </c>
      <c r="F16" s="26">
        <v>128583896.81999999</v>
      </c>
      <c r="G16" s="26">
        <v>42035393.549999997</v>
      </c>
      <c r="H16" s="14">
        <f t="shared" si="0"/>
        <v>8000000</v>
      </c>
      <c r="I16" s="14">
        <f t="shared" si="1"/>
        <v>170619290.37</v>
      </c>
    </row>
    <row r="17" spans="2:9" x14ac:dyDescent="0.25">
      <c r="B17" s="7">
        <v>8</v>
      </c>
      <c r="C17" s="24" t="s">
        <v>125</v>
      </c>
      <c r="D17" s="25">
        <v>4000000</v>
      </c>
      <c r="E17" s="21">
        <v>10000000</v>
      </c>
      <c r="F17" s="26">
        <v>118259577.73</v>
      </c>
      <c r="G17" s="26">
        <v>43002048.759999998</v>
      </c>
      <c r="H17" s="14">
        <f t="shared" si="0"/>
        <v>-6000000</v>
      </c>
      <c r="I17" s="14">
        <f t="shared" si="1"/>
        <v>161261626.49000001</v>
      </c>
    </row>
    <row r="18" spans="2:9" x14ac:dyDescent="0.25">
      <c r="B18" s="7">
        <v>9</v>
      </c>
      <c r="C18" s="24" t="s">
        <v>126</v>
      </c>
      <c r="D18" s="25">
        <v>54000000</v>
      </c>
      <c r="E18" s="21">
        <f>10000000+14486384.8</f>
        <v>24486384.800000001</v>
      </c>
      <c r="F18" s="26">
        <v>149951797.47</v>
      </c>
      <c r="G18" s="26">
        <v>41891871.549999997</v>
      </c>
      <c r="H18" s="14">
        <f t="shared" si="0"/>
        <v>29513615.199999999</v>
      </c>
      <c r="I18" s="14">
        <f t="shared" si="1"/>
        <v>191843669.01999998</v>
      </c>
    </row>
    <row r="19" spans="2:9" ht="15" customHeight="1" x14ac:dyDescent="0.25">
      <c r="B19" s="45" t="s">
        <v>127</v>
      </c>
      <c r="C19" s="45"/>
      <c r="D19" s="18">
        <f>SUM(D7:D18)</f>
        <v>183897466.39999998</v>
      </c>
      <c r="E19" s="18">
        <f>SUM(E7:E18)</f>
        <v>161659376</v>
      </c>
      <c r="F19" s="18">
        <f>F18</f>
        <v>149951797.47</v>
      </c>
      <c r="G19" s="18">
        <f>G18</f>
        <v>41891871.549999997</v>
      </c>
      <c r="H19" s="18">
        <f t="shared" si="0"/>
        <v>22238090.399999976</v>
      </c>
      <c r="I19" s="18">
        <f t="shared" si="1"/>
        <v>191843669.01999998</v>
      </c>
    </row>
  </sheetData>
  <mergeCells count="3">
    <mergeCell ref="B2:I2"/>
    <mergeCell ref="B3:I3"/>
    <mergeCell ref="B19:C19"/>
  </mergeCells>
  <conditionalFormatting sqref="F15:F18">
    <cfRule type="colorScale" priority="2">
      <colorScale>
        <cfvo type="min"/>
        <cfvo type="percentile" val="50"/>
        <cfvo type="max"/>
        <color rgb="FFFCE4D6"/>
        <color rgb="FFFFEB9C"/>
        <color rgb="FFC6EFCE"/>
      </colorScale>
    </cfRule>
  </conditionalFormatting>
  <conditionalFormatting sqref="G15:G18">
    <cfRule type="colorScale" priority="3">
      <colorScale>
        <cfvo type="min"/>
        <cfvo type="percentile" val="50"/>
        <cfvo type="max"/>
        <color rgb="FFFCE4D6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95"/>
  <sheetViews>
    <sheetView showGridLines="0" topLeftCell="A70" zoomScaleNormal="100" workbookViewId="0">
      <selection activeCell="D93" sqref="D93"/>
    </sheetView>
  </sheetViews>
  <sheetFormatPr defaultColWidth="8.7109375" defaultRowHeight="15" x14ac:dyDescent="0.25"/>
  <cols>
    <col min="1" max="1" width="2" customWidth="1"/>
    <col min="2" max="2" width="30" customWidth="1"/>
    <col min="3" max="3" width="32" customWidth="1"/>
    <col min="4" max="6" width="18" customWidth="1"/>
    <col min="7" max="7" width="16" customWidth="1"/>
    <col min="8" max="8" width="14" customWidth="1"/>
  </cols>
  <sheetData>
    <row r="2" spans="2:7" ht="19.5" x14ac:dyDescent="0.25">
      <c r="B2" s="41" t="s">
        <v>128</v>
      </c>
      <c r="C2" s="41"/>
      <c r="D2" s="41"/>
      <c r="E2" s="41"/>
      <c r="F2" s="41"/>
      <c r="G2" s="41"/>
    </row>
    <row r="4" spans="2:7" x14ac:dyDescent="0.25">
      <c r="B4" s="46" t="s">
        <v>129</v>
      </c>
      <c r="C4" s="46"/>
      <c r="D4" s="46"/>
    </row>
    <row r="5" spans="2:7" ht="27.75" customHeight="1" x14ac:dyDescent="0.25">
      <c r="B5" s="5" t="s">
        <v>130</v>
      </c>
      <c r="C5" s="5" t="s">
        <v>131</v>
      </c>
      <c r="D5" s="5" t="s">
        <v>132</v>
      </c>
    </row>
    <row r="6" spans="2:7" x14ac:dyDescent="0.25">
      <c r="B6" s="27" t="s">
        <v>133</v>
      </c>
      <c r="C6" s="14">
        <f>SUM(รายการรายรับ!G6:G204)</f>
        <v>198897466.40000001</v>
      </c>
      <c r="D6" s="28" t="s">
        <v>134</v>
      </c>
    </row>
    <row r="7" spans="2:7" x14ac:dyDescent="0.25">
      <c r="B7" s="27" t="s">
        <v>135</v>
      </c>
      <c r="C7" s="14">
        <f>SUM(รายการรายรับ!H6:H204)</f>
        <v>79515708.61999999</v>
      </c>
      <c r="D7" s="28" t="s">
        <v>134</v>
      </c>
    </row>
    <row r="8" spans="2:7" x14ac:dyDescent="0.25">
      <c r="B8" s="27" t="s">
        <v>77</v>
      </c>
      <c r="C8" s="14">
        <f>SUM(รายการรายรับ!I6:I204)</f>
        <v>10974325.970000001</v>
      </c>
      <c r="D8" s="28" t="s">
        <v>134</v>
      </c>
    </row>
    <row r="9" spans="2:7" x14ac:dyDescent="0.25">
      <c r="B9" s="27" t="s">
        <v>78</v>
      </c>
      <c r="C9" s="14">
        <f>SUM(รายการรายรับ!J6:J204)</f>
        <v>108407431.81</v>
      </c>
      <c r="D9" s="28" t="s">
        <v>134</v>
      </c>
    </row>
    <row r="10" spans="2:7" x14ac:dyDescent="0.25">
      <c r="B10" s="27" t="s">
        <v>136</v>
      </c>
      <c r="C10" s="15">
        <f>IF(SUM(รายการรายรับ!G6:G204)=0,0,SUM(รายการรายรับ!H6:H204)/SUM(รายการรายรับ!G6:G204))</f>
        <v>0.39978241080299648</v>
      </c>
      <c r="D10" s="28" t="s">
        <v>137</v>
      </c>
    </row>
    <row r="12" spans="2:7" x14ac:dyDescent="0.25">
      <c r="B12" s="46" t="s">
        <v>138</v>
      </c>
      <c r="C12" s="46"/>
      <c r="D12" s="46"/>
    </row>
    <row r="13" spans="2:7" x14ac:dyDescent="0.25">
      <c r="B13" s="5" t="s">
        <v>130</v>
      </c>
      <c r="C13" s="5" t="s">
        <v>131</v>
      </c>
      <c r="D13" s="5" t="s">
        <v>132</v>
      </c>
    </row>
    <row r="14" spans="2:7" x14ac:dyDescent="0.25">
      <c r="B14" s="27" t="s">
        <v>139</v>
      </c>
      <c r="C14" s="14">
        <f>SUM(รายการค่าใช้จ่าย!G6:G205)</f>
        <v>176659376</v>
      </c>
      <c r="D14" s="28" t="s">
        <v>134</v>
      </c>
    </row>
    <row r="15" spans="2:7" x14ac:dyDescent="0.25">
      <c r="B15" s="27" t="s">
        <v>140</v>
      </c>
      <c r="C15" s="14">
        <f>SUM(รายการค่าใช้จ่าย!H6:H205)</f>
        <v>56251194.989999995</v>
      </c>
      <c r="D15" s="28" t="s">
        <v>134</v>
      </c>
    </row>
    <row r="16" spans="2:7" x14ac:dyDescent="0.25">
      <c r="B16" s="27" t="s">
        <v>141</v>
      </c>
      <c r="C16" s="14">
        <f>SUM(รายการค่าใช้จ่าย!G6:G205)-SUM(รายการค่าใช้จ่าย!H6:H205)</f>
        <v>120408181.01000001</v>
      </c>
      <c r="D16" s="28" t="s">
        <v>134</v>
      </c>
    </row>
    <row r="17" spans="2:7" x14ac:dyDescent="0.25">
      <c r="B17" s="27" t="s">
        <v>91</v>
      </c>
      <c r="C17" s="15">
        <f>IF(SUM(รายการค่าใช้จ่าย!G6:G205)=0,0,SUM(รายการค่าใช้จ่าย!H6:H205)/SUM(รายการค่าใช้จ่าย!G6:G205))</f>
        <v>0.31841613088229176</v>
      </c>
      <c r="D17" s="28" t="s">
        <v>137</v>
      </c>
    </row>
    <row r="19" spans="2:7" x14ac:dyDescent="0.25">
      <c r="B19" s="46" t="s">
        <v>142</v>
      </c>
      <c r="C19" s="46"/>
      <c r="D19" s="46"/>
      <c r="E19" s="46"/>
      <c r="F19" s="46"/>
      <c r="G19" s="46"/>
    </row>
    <row r="20" spans="2:7" ht="28.5" x14ac:dyDescent="0.25">
      <c r="B20" s="5" t="s">
        <v>46</v>
      </c>
      <c r="C20" s="5" t="s">
        <v>47</v>
      </c>
      <c r="D20" s="5" t="s">
        <v>75</v>
      </c>
      <c r="E20" s="5" t="s">
        <v>76</v>
      </c>
      <c r="F20" s="5" t="s">
        <v>77</v>
      </c>
      <c r="G20" s="5" t="s">
        <v>78</v>
      </c>
    </row>
    <row r="21" spans="2:7" x14ac:dyDescent="0.25">
      <c r="B21" s="27" t="s">
        <v>49</v>
      </c>
      <c r="C21" s="27" t="s">
        <v>50</v>
      </c>
      <c r="D21" s="14">
        <f>SUMIFS(รายการรายรับ!G6:G204,รายการรายรับ!D6:D204,B21,รายการรายรับ!E6:E204,C21)</f>
        <v>118940185</v>
      </c>
      <c r="E21" s="14">
        <f>SUMIFS(รายการรายรับ!H6:H204,รายการรายรับ!D6:D204,B21,รายการรายรับ!E6:E204,C21)</f>
        <v>57109556.469999999</v>
      </c>
      <c r="F21" s="14">
        <f>SUMIFS(รายการรายรับ!I6:I204,รายการรายรับ!D6:D204,B21,รายการรายรับ!E6:E204,C21)</f>
        <v>0</v>
      </c>
      <c r="G21" s="14">
        <f>SUMIFS(รายการรายรับ!J6:J204,รายการรายรับ!D6:D204,B21,รายการรายรับ!E6:E204,C21)</f>
        <v>61830628.530000001</v>
      </c>
    </row>
    <row r="22" spans="2:7" x14ac:dyDescent="0.25">
      <c r="B22" s="27" t="s">
        <v>49</v>
      </c>
      <c r="C22" s="27" t="s">
        <v>53</v>
      </c>
      <c r="D22" s="14">
        <f>SUMIFS(รายการรายรับ!G6:G204,รายการรายรับ!D6:D204,B22,รายการรายรับ!E6:E204,C22)</f>
        <v>1200000</v>
      </c>
      <c r="E22" s="14">
        <f>SUMIFS(รายการรายรับ!H6:H204,รายการรายรับ!D6:D204,B22,รายการรายรับ!E6:E204,C22)</f>
        <v>0</v>
      </c>
      <c r="F22" s="14">
        <f>SUMIFS(รายการรายรับ!I6:I204,รายการรายรับ!D6:D204,B22,รายการรายรับ!E6:E204,C22)</f>
        <v>0</v>
      </c>
      <c r="G22" s="14">
        <f>SUMIFS(รายการรายรับ!J6:J204,รายการรายรับ!D6:D204,B22,รายการรายรับ!E6:E204,C22)</f>
        <v>1200000</v>
      </c>
    </row>
    <row r="23" spans="2:7" x14ac:dyDescent="0.25">
      <c r="B23" s="27" t="s">
        <v>49</v>
      </c>
      <c r="C23" s="27" t="s">
        <v>56</v>
      </c>
      <c r="D23" s="14">
        <f>SUMIFS(รายการรายรับ!G6:G204,รายการรายรับ!D6:D204,B23,รายการรายรับ!E6:E204,C23)</f>
        <v>2090000</v>
      </c>
      <c r="E23" s="14">
        <f>SUMIFS(รายการรายรับ!H6:H204,รายการรายรับ!D6:D204,B23,รายการรายรับ!E6:E204,C23)</f>
        <v>500000</v>
      </c>
      <c r="F23" s="14">
        <f>SUMIFS(รายการรายรับ!I6:I204,รายการรายรับ!D6:D204,B23,รายการรายรับ!E6:E204,C23)</f>
        <v>0</v>
      </c>
      <c r="G23" s="14">
        <f>SUMIFS(รายการรายรับ!J6:J204,รายการรายรับ!D6:D204,B23,รายการรายรับ!E6:E204,C23)</f>
        <v>1590000</v>
      </c>
    </row>
    <row r="24" spans="2:7" x14ac:dyDescent="0.25">
      <c r="B24" s="27" t="s">
        <v>49</v>
      </c>
      <c r="C24" s="27" t="s">
        <v>58</v>
      </c>
      <c r="D24" s="14">
        <f>SUMIFS(รายการรายรับ!G6:G204,รายการรายรับ!D6:D204,B24,รายการรายรับ!E6:E204,C24)</f>
        <v>4627281.4000000004</v>
      </c>
      <c r="E24" s="14">
        <f>SUMIFS(รายการรายรับ!H6:H204,รายการรายรับ!D6:D204,B24,รายการรายรับ!E6:E204,C24)</f>
        <v>4627281.4000000004</v>
      </c>
      <c r="F24" s="14">
        <f>SUMIFS(รายการรายรับ!I6:I204,รายการรายรับ!D6:D204,B24,รายการรายรับ!E6:E204,C24)</f>
        <v>0</v>
      </c>
      <c r="G24" s="14">
        <f>SUMIFS(รายการรายรับ!J6:J204,รายการรายรับ!D6:D204,B24,รายการรายรับ!E6:E204,C24)</f>
        <v>0</v>
      </c>
    </row>
    <row r="25" spans="2:7" x14ac:dyDescent="0.25">
      <c r="B25" s="27" t="s">
        <v>52</v>
      </c>
      <c r="C25" s="27" t="s">
        <v>50</v>
      </c>
      <c r="D25" s="14">
        <f>SUMIFS(รายการรายรับ!G6:G204,รายการรายรับ!D6:D204,B25,รายการรายรับ!E6:E204,C25)</f>
        <v>0</v>
      </c>
      <c r="E25" s="14">
        <f>SUMIFS(รายการรายรับ!H6:H204,รายการรายรับ!D6:D204,B25,รายการรายรับ!E6:E204,C25)</f>
        <v>0</v>
      </c>
      <c r="F25" s="14">
        <f>SUMIFS(รายการรายรับ!I6:I204,รายการรายรับ!D6:D204,B25,รายการรายรับ!E6:E204,C25)</f>
        <v>0</v>
      </c>
      <c r="G25" s="14">
        <f>SUMIFS(รายการรายรับ!J6:J204,รายการรายรับ!D6:D204,B25,รายการรายรับ!E6:E204,C25)</f>
        <v>0</v>
      </c>
    </row>
    <row r="26" spans="2:7" x14ac:dyDescent="0.25">
      <c r="B26" s="27" t="s">
        <v>52</v>
      </c>
      <c r="C26" s="27" t="s">
        <v>53</v>
      </c>
      <c r="D26" s="14">
        <f>SUMIFS(รายการรายรับ!G6:G204,รายการรายรับ!D6:D204,B26,รายการรายรับ!E6:E204,C26)</f>
        <v>0</v>
      </c>
      <c r="E26" s="14">
        <f>SUMIFS(รายการรายรับ!H6:H204,รายการรายรับ!D6:D204,B26,รายการรายรับ!E6:E204,C26)</f>
        <v>0</v>
      </c>
      <c r="F26" s="14">
        <f>SUMIFS(รายการรายรับ!I6:I204,รายการรายรับ!D6:D204,B26,รายการรายรับ!E6:E204,C26)</f>
        <v>0</v>
      </c>
      <c r="G26" s="14">
        <f>SUMIFS(รายการรายรับ!J6:J204,รายการรายรับ!D6:D204,B26,รายการรายรับ!E6:E204,C26)</f>
        <v>0</v>
      </c>
    </row>
    <row r="27" spans="2:7" x14ac:dyDescent="0.25">
      <c r="B27" s="27" t="s">
        <v>52</v>
      </c>
      <c r="C27" s="27" t="s">
        <v>56</v>
      </c>
      <c r="D27" s="14">
        <f>SUMIFS(รายการรายรับ!G6:G204,รายการรายรับ!D6:D204,B27,รายการรายรับ!E6:E204,C27)</f>
        <v>0</v>
      </c>
      <c r="E27" s="14">
        <f>SUMIFS(รายการรายรับ!H6:H204,รายการรายรับ!D6:D204,B27,รายการรายรับ!E6:E204,C27)</f>
        <v>0</v>
      </c>
      <c r="F27" s="14">
        <f>SUMIFS(รายการรายรับ!I6:I204,รายการรายรับ!D6:D204,B27,รายการรายรับ!E6:E204,C27)</f>
        <v>0</v>
      </c>
      <c r="G27" s="14">
        <f>SUMIFS(รายการรายรับ!J6:J204,รายการรายรับ!D6:D204,B27,รายการรายรับ!E6:E204,C27)</f>
        <v>0</v>
      </c>
    </row>
    <row r="28" spans="2:7" x14ac:dyDescent="0.25">
      <c r="B28" s="27" t="s">
        <v>52</v>
      </c>
      <c r="C28" s="27" t="s">
        <v>58</v>
      </c>
      <c r="D28" s="14">
        <f>SUMIFS(รายการรายรับ!G6:G204,รายการรายรับ!D6:D204,B28,รายการรายรับ!E6:E204,C28)</f>
        <v>0</v>
      </c>
      <c r="E28" s="14">
        <f>SUMIFS(รายการรายรับ!H6:H204,รายการรายรับ!D6:D204,B28,รายการรายรับ!E6:E204,C28)</f>
        <v>0</v>
      </c>
      <c r="F28" s="14">
        <f>SUMIFS(รายการรายรับ!I6:I204,รายการรายรับ!D6:D204,B28,รายการรายรับ!E6:E204,C28)</f>
        <v>0</v>
      </c>
      <c r="G28" s="14">
        <f>SUMIFS(รายการรายรับ!J6:J204,รายการรายรับ!D6:D204,B28,รายการรายรับ!E6:E204,C28)</f>
        <v>0</v>
      </c>
    </row>
    <row r="29" spans="2:7" x14ac:dyDescent="0.25">
      <c r="B29" s="27" t="s">
        <v>55</v>
      </c>
      <c r="C29" s="27" t="s">
        <v>50</v>
      </c>
      <c r="D29" s="14">
        <f>SUMIFS(รายการรายรับ!G6:G204,รายการรายรับ!D6:D204,B29,รายการรายรับ!E6:E204,C29)</f>
        <v>0</v>
      </c>
      <c r="E29" s="14">
        <f>SUMIFS(รายการรายรับ!H6:H204,รายการรายรับ!D6:D204,B29,รายการรายรับ!E6:E204,C29)</f>
        <v>0</v>
      </c>
      <c r="F29" s="14">
        <f>SUMIFS(รายการรายรับ!I6:I204,รายการรายรับ!D6:D204,B29,รายการรายรับ!E6:E204,C29)</f>
        <v>0</v>
      </c>
      <c r="G29" s="14">
        <f>SUMIFS(รายการรายรับ!J6:J204,รายการรายรับ!D6:D204,B29,รายการรายรับ!E6:E204,C29)</f>
        <v>0</v>
      </c>
    </row>
    <row r="30" spans="2:7" x14ac:dyDescent="0.25">
      <c r="B30" s="27" t="s">
        <v>55</v>
      </c>
      <c r="C30" s="27" t="s">
        <v>53</v>
      </c>
      <c r="D30" s="14">
        <f>SUMIFS(รายการรายรับ!G6:G204,รายการรายรับ!D6:D204,B30,รายการรายรับ!E6:E204,C30)</f>
        <v>0</v>
      </c>
      <c r="E30" s="14">
        <f>SUMIFS(รายการรายรับ!H6:H204,รายการรายรับ!D6:D204,B30,รายการรายรับ!E6:E204,C30)</f>
        <v>0</v>
      </c>
      <c r="F30" s="14">
        <f>SUMIFS(รายการรายรับ!I6:I204,รายการรายรับ!D6:D204,B30,รายการรายรับ!E6:E204,C30)</f>
        <v>0</v>
      </c>
      <c r="G30" s="14">
        <f>SUMIFS(รายการรายรับ!J6:J204,รายการรายรับ!D6:D204,B30,รายการรายรับ!E6:E204,C30)</f>
        <v>0</v>
      </c>
    </row>
    <row r="31" spans="2:7" x14ac:dyDescent="0.25">
      <c r="B31" s="27" t="s">
        <v>55</v>
      </c>
      <c r="C31" s="27" t="s">
        <v>56</v>
      </c>
      <c r="D31" s="14">
        <f>SUMIFS(รายการรายรับ!G6:G204,รายการรายรับ!D6:D204,B31,รายการรายรับ!E6:E204,C31)</f>
        <v>0</v>
      </c>
      <c r="E31" s="14">
        <f>SUMIFS(รายการรายรับ!H6:H204,รายการรายรับ!D6:D204,B31,รายการรายรับ!E6:E204,C31)</f>
        <v>0</v>
      </c>
      <c r="F31" s="14">
        <f>SUMIFS(รายการรายรับ!I6:I204,รายการรายรับ!D6:D204,B31,รายการรายรับ!E6:E204,C31)</f>
        <v>0</v>
      </c>
      <c r="G31" s="14">
        <f>SUMIFS(รายการรายรับ!J6:J204,รายการรายรับ!D6:D204,B31,รายการรายรับ!E6:E204,C31)</f>
        <v>0</v>
      </c>
    </row>
    <row r="32" spans="2:7" x14ac:dyDescent="0.25">
      <c r="B32" s="27" t="s">
        <v>55</v>
      </c>
      <c r="C32" s="27" t="s">
        <v>58</v>
      </c>
      <c r="D32" s="14">
        <f>SUMIFS(รายการรายรับ!G6:G204,รายการรายรับ!D6:D204,B32,รายการรายรับ!E6:E204,C32)</f>
        <v>0</v>
      </c>
      <c r="E32" s="14">
        <f>SUMIFS(รายการรายรับ!H6:H204,รายการรายรับ!D6:D204,B32,รายการรายรับ!E6:E204,C32)</f>
        <v>0</v>
      </c>
      <c r="F32" s="14">
        <f>SUMIFS(รายการรายรับ!I6:I204,รายการรายรับ!D6:D204,B32,รายการรายรับ!E6:E204,C32)</f>
        <v>0</v>
      </c>
      <c r="G32" s="14">
        <f>SUMIFS(รายการรายรับ!J6:J204,รายการรายรับ!D6:D204,B32,รายการรายรับ!E6:E204,C32)</f>
        <v>0</v>
      </c>
    </row>
    <row r="34" spans="2:6" x14ac:dyDescent="0.25">
      <c r="B34" s="46" t="s">
        <v>143</v>
      </c>
      <c r="C34" s="46"/>
      <c r="D34" s="46"/>
      <c r="E34" s="46"/>
      <c r="F34" s="46"/>
    </row>
    <row r="35" spans="2:6" x14ac:dyDescent="0.25">
      <c r="B35" s="5" t="s">
        <v>46</v>
      </c>
      <c r="C35" s="5" t="s">
        <v>48</v>
      </c>
      <c r="D35" s="5" t="s">
        <v>88</v>
      </c>
      <c r="E35" s="5" t="s">
        <v>89</v>
      </c>
      <c r="F35" s="5" t="s">
        <v>91</v>
      </c>
    </row>
    <row r="36" spans="2:6" x14ac:dyDescent="0.25">
      <c r="B36" s="27" t="s">
        <v>49</v>
      </c>
      <c r="C36" s="27" t="s">
        <v>51</v>
      </c>
      <c r="D36" s="14">
        <f>SUMIFS(รายการค่าใช้จ่าย!G6:G205,รายการค่าใช้จ่าย!D6:D205,B36,รายการค่าใช้จ่าย!E6:E205,C36)</f>
        <v>5000000</v>
      </c>
      <c r="E36" s="14">
        <f>SUMIFS(รายการค่าใช้จ่าย!H6:H205,รายการค่าใช้จ่าย!D6:D205,B36,รายการค่าใช้จ่าย!E6:E205,C36)</f>
        <v>536651</v>
      </c>
      <c r="F36" s="15">
        <f t="shared" ref="F36:F74" si="0">IF(D36=0,0,E36/D36)</f>
        <v>0.1073302</v>
      </c>
    </row>
    <row r="37" spans="2:6" x14ac:dyDescent="0.25">
      <c r="B37" s="27" t="s">
        <v>49</v>
      </c>
      <c r="C37" s="27" t="s">
        <v>54</v>
      </c>
      <c r="D37" s="14">
        <f>SUMIFS(รายการค่าใช้จ่าย!G6:G205,รายการค่าใช้จ่าย!D6:D205,B37,รายการค่าใช้จ่าย!E6:E205,C37)</f>
        <v>2281000</v>
      </c>
      <c r="E37" s="14">
        <f>SUMIFS(รายการค่าใช้จ่าย!H6:H205,รายการค่าใช้จ่าย!D6:D205,B37,รายการค่าใช้จ่าย!E6:E205,C37)</f>
        <v>1633133.5</v>
      </c>
      <c r="F37" s="15">
        <f t="shared" si="0"/>
        <v>0.71597259973695748</v>
      </c>
    </row>
    <row r="38" spans="2:6" x14ac:dyDescent="0.25">
      <c r="B38" s="27" t="s">
        <v>49</v>
      </c>
      <c r="C38" s="27" t="s">
        <v>57</v>
      </c>
      <c r="D38" s="14">
        <f>SUMIFS(รายการค่าใช้จ่าย!G6:G205,รายการค่าใช้จ่าย!D6:D205,B38,รายการค่าใช้จ่าย!E6:E205,C38)</f>
        <v>13923800</v>
      </c>
      <c r="E38" s="14">
        <f>SUMIFS(รายการค่าใช้จ่าย!H6:H205,รายการค่าใช้จ่าย!D6:D205,B38,รายการค่าใช้จ่าย!E6:E205,C38)</f>
        <v>6386315.9700000007</v>
      </c>
      <c r="F38" s="15">
        <f t="shared" si="0"/>
        <v>0.45866185739525134</v>
      </c>
    </row>
    <row r="39" spans="2:6" x14ac:dyDescent="0.25">
      <c r="B39" s="27" t="s">
        <v>49</v>
      </c>
      <c r="C39" s="27" t="s">
        <v>59</v>
      </c>
      <c r="D39" s="14">
        <f>SUMIFS(รายการค่าใช้จ่าย!G6:G205,รายการค่าใช้จ่าย!D6:D205,B39,รายการค่าใช้จ่าย!E6:E205,C39)</f>
        <v>3589000</v>
      </c>
      <c r="E39" s="14">
        <f>SUMIFS(รายการค่าใช้จ่าย!H6:H205,รายการค่าใช้จ่าย!D6:D205,B39,รายการค่าใช้จ่าย!E6:E205,C39)</f>
        <v>2871989.07</v>
      </c>
      <c r="F39" s="15">
        <f t="shared" si="0"/>
        <v>0.80021985789913619</v>
      </c>
    </row>
    <row r="40" spans="2:6" x14ac:dyDescent="0.25">
      <c r="B40" s="27" t="s">
        <v>49</v>
      </c>
      <c r="C40" s="27" t="s">
        <v>60</v>
      </c>
      <c r="D40" s="14">
        <f>SUMIFS(รายการค่าใช้จ่าย!G6:G205,รายการค่าใช้จ่าย!D6:D205,B40,รายการค่าใช้จ่าย!E6:E205,C40)</f>
        <v>3886800</v>
      </c>
      <c r="E40" s="14">
        <f>SUMIFS(รายการค่าใช้จ่าย!H6:H205,รายการค่าใช้จ่าย!D6:D205,B40,รายการค่าใช้จ่าย!E6:E205,C40)</f>
        <v>3454521.94</v>
      </c>
      <c r="F40" s="15">
        <f t="shared" si="0"/>
        <v>0.888783045178553</v>
      </c>
    </row>
    <row r="41" spans="2:6" x14ac:dyDescent="0.25">
      <c r="B41" s="27" t="s">
        <v>49</v>
      </c>
      <c r="C41" s="27" t="s">
        <v>61</v>
      </c>
      <c r="D41" s="14">
        <f>SUMIFS(รายการค่าใช้จ่าย!G6:G205,รายการค่าใช้จ่าย!D6:D205,B41,รายการค่าใช้จ่าย!E6:E205,C41)</f>
        <v>1417200</v>
      </c>
      <c r="E41" s="14">
        <f>SUMIFS(รายการค่าใช้จ่าย!H6:H205,รายการค่าใช้จ่าย!D6:D205,B41,รายการค่าใช้จ่าย!E6:E205,C41)</f>
        <v>1128400</v>
      </c>
      <c r="F41" s="15">
        <f t="shared" si="0"/>
        <v>0.79621789443974034</v>
      </c>
    </row>
    <row r="42" spans="2:6" x14ac:dyDescent="0.25">
      <c r="B42" s="27" t="s">
        <v>49</v>
      </c>
      <c r="C42" s="27" t="s">
        <v>62</v>
      </c>
      <c r="D42" s="14">
        <f>SUMIFS(รายการค่าใช้จ่าย!G6:G205,รายการค่าใช้จ่าย!D6:D205,B42,รายการค่าใช้จ่าย!E6:E205,C42)</f>
        <v>35358600</v>
      </c>
      <c r="E42" s="14">
        <f>SUMIFS(รายการค่าใช้จ่าย!H6:H205,รายการค่าใช้จ่าย!D6:D205,B42,รายการค่าใช้จ่าย!E6:E205,C42)</f>
        <v>17125151.799999997</v>
      </c>
      <c r="F42" s="15">
        <f t="shared" si="0"/>
        <v>0.48432776750210688</v>
      </c>
    </row>
    <row r="43" spans="2:6" x14ac:dyDescent="0.25">
      <c r="B43" s="27" t="s">
        <v>49</v>
      </c>
      <c r="C43" s="27" t="s">
        <v>63</v>
      </c>
      <c r="D43" s="14">
        <f>SUMIFS(รายการค่าใช้จ่าย!G6:G205,รายการค่าใช้จ่าย!D6:D205,B43,รายการค่าใช้จ่าย!E6:E205,C43)</f>
        <v>3374000</v>
      </c>
      <c r="E43" s="14">
        <f>SUMIFS(รายการค่าใช้จ่าย!H6:H205,รายการค่าใช้จ่าย!D6:D205,B43,รายการค่าใช้จ่าย!E6:E205,C43)</f>
        <v>555254.03999999992</v>
      </c>
      <c r="F43" s="15">
        <f t="shared" si="0"/>
        <v>0.16456847658565499</v>
      </c>
    </row>
    <row r="44" spans="2:6" x14ac:dyDescent="0.25">
      <c r="B44" s="27" t="s">
        <v>49</v>
      </c>
      <c r="C44" s="27" t="s">
        <v>64</v>
      </c>
      <c r="D44" s="14">
        <f>SUMIFS(รายการค่าใช้จ่าย!G6:G205,รายการค่าใช้จ่าย!D6:D205,B44,รายการค่าใช้จ่าย!E6:E205,C44)</f>
        <v>33660976</v>
      </c>
      <c r="E44" s="14">
        <f>SUMIFS(รายการค่าใช้จ่าย!H6:H205,รายการค่าใช้จ่าย!D6:D205,B44,รายการค่าใช้จ่าย!E6:E205,C44)</f>
        <v>12303669.59</v>
      </c>
      <c r="F44" s="15">
        <f t="shared" si="0"/>
        <v>0.36551731565953405</v>
      </c>
    </row>
    <row r="45" spans="2:6" x14ac:dyDescent="0.25">
      <c r="B45" s="27" t="s">
        <v>49</v>
      </c>
      <c r="C45" s="27" t="s">
        <v>65</v>
      </c>
      <c r="D45" s="14">
        <f>SUMIFS(รายการค่าใช้จ่าย!G6:G205,รายการค่าใช้จ่าย!D6:D205,B45,รายการค่าใช้จ่าย!E6:E205,C45)</f>
        <v>7500000</v>
      </c>
      <c r="E45" s="14">
        <f>SUMIFS(รายการค่าใช้จ่าย!H6:H205,รายการค่าใช้จ่าย!D6:D205,B45,รายการค่าใช้จ่าย!E6:E205,C45)</f>
        <v>0</v>
      </c>
      <c r="F45" s="15">
        <f t="shared" si="0"/>
        <v>0</v>
      </c>
    </row>
    <row r="46" spans="2:6" x14ac:dyDescent="0.25">
      <c r="B46" s="27" t="s">
        <v>49</v>
      </c>
      <c r="C46" s="27" t="s">
        <v>66</v>
      </c>
      <c r="D46" s="14">
        <f>SUMIFS(รายการค่าใช้จ่าย!G6:G205,รายการค่าใช้จ่าย!D6:D205,B46,รายการค่าใช้จ่าย!E6:E205,C46)</f>
        <v>0</v>
      </c>
      <c r="E46" s="14">
        <f>SUMIFS(รายการค่าใช้จ่าย!H6:H205,รายการค่าใช้จ่าย!D6:D205,B46,รายการค่าใช้จ่าย!E6:E205,C46)</f>
        <v>0</v>
      </c>
      <c r="F46" s="15">
        <f t="shared" si="0"/>
        <v>0</v>
      </c>
    </row>
    <row r="47" spans="2:6" x14ac:dyDescent="0.25">
      <c r="B47" s="27" t="s">
        <v>49</v>
      </c>
      <c r="C47" s="27" t="s">
        <v>67</v>
      </c>
      <c r="D47" s="14">
        <f>SUMIFS(รายการค่าใช้จ่าย!G6:G205,รายการค่าใช้จ่าย!D6:D205,B47,รายการค่าใช้จ่าย!E6:E205,C47)</f>
        <v>0</v>
      </c>
      <c r="E47" s="14">
        <f>SUMIFS(รายการค่าใช้จ่าย!H6:H205,รายการค่าใช้จ่าย!D6:D205,B47,รายการค่าใช้จ่าย!E6:E205,C47)</f>
        <v>0</v>
      </c>
      <c r="F47" s="15">
        <f t="shared" si="0"/>
        <v>0</v>
      </c>
    </row>
    <row r="48" spans="2:6" x14ac:dyDescent="0.25">
      <c r="B48" s="27" t="s">
        <v>49</v>
      </c>
      <c r="C48" s="27" t="s">
        <v>68</v>
      </c>
      <c r="D48" s="14">
        <f>SUMIFS(รายการค่าใช้จ่าย!G6:G205,รายการค่าใช้จ่าย!D6:D205,B48,รายการค่าใช้จ่าย!E6:E205,C48)</f>
        <v>0</v>
      </c>
      <c r="E48" s="14">
        <f>SUMIFS(รายการค่าใช้จ่าย!H6:H205,รายการค่าใช้จ่าย!D6:D205,B48,รายการค่าใช้จ่าย!E6:E205,C48)</f>
        <v>0</v>
      </c>
      <c r="F48" s="15">
        <f t="shared" si="0"/>
        <v>0</v>
      </c>
    </row>
    <row r="49" spans="2:6" x14ac:dyDescent="0.25">
      <c r="B49" s="27" t="s">
        <v>52</v>
      </c>
      <c r="C49" s="27" t="s">
        <v>51</v>
      </c>
      <c r="D49" s="14">
        <f>SUMIFS(รายการค่าใช้จ่าย!G6:G205,รายการค่าใช้จ่าย!D6:D205,B49,รายการค่าใช้จ่าย!E6:E205,C49)</f>
        <v>0</v>
      </c>
      <c r="E49" s="14">
        <f>SUMIFS(รายการค่าใช้จ่าย!H6:H205,รายการค่าใช้จ่าย!D6:D205,B49,รายการค่าใช้จ่าย!E6:E205,C49)</f>
        <v>0</v>
      </c>
      <c r="F49" s="15">
        <f t="shared" si="0"/>
        <v>0</v>
      </c>
    </row>
    <row r="50" spans="2:6" x14ac:dyDescent="0.25">
      <c r="B50" s="27" t="s">
        <v>52</v>
      </c>
      <c r="C50" s="27" t="s">
        <v>54</v>
      </c>
      <c r="D50" s="14">
        <f>SUMIFS(รายการค่าใช้จ่าย!G6:G205,รายการค่าใช้จ่าย!D6:D205,B50,รายการค่าใช้จ่าย!E6:E205,C50)</f>
        <v>0</v>
      </c>
      <c r="E50" s="14">
        <f>SUMIFS(รายการค่าใช้จ่าย!H6:H205,รายการค่าใช้จ่าย!D6:D205,B50,รายการค่าใช้จ่าย!E6:E205,C50)</f>
        <v>0</v>
      </c>
      <c r="F50" s="15">
        <f t="shared" si="0"/>
        <v>0</v>
      </c>
    </row>
    <row r="51" spans="2:6" x14ac:dyDescent="0.25">
      <c r="B51" s="27" t="s">
        <v>52</v>
      </c>
      <c r="C51" s="27" t="s">
        <v>57</v>
      </c>
      <c r="D51" s="14">
        <f>SUMIFS(รายการค่าใช้จ่าย!G6:G205,รายการค่าใช้จ่าย!D6:D205,B51,รายการค่าใช้จ่าย!E6:E205,C51)</f>
        <v>0</v>
      </c>
      <c r="E51" s="14">
        <f>SUMIFS(รายการค่าใช้จ่าย!H6:H205,รายการค่าใช้จ่าย!D6:D205,B51,รายการค่าใช้จ่าย!E6:E205,C51)</f>
        <v>0</v>
      </c>
      <c r="F51" s="15">
        <f t="shared" si="0"/>
        <v>0</v>
      </c>
    </row>
    <row r="52" spans="2:6" x14ac:dyDescent="0.25">
      <c r="B52" s="27" t="s">
        <v>52</v>
      </c>
      <c r="C52" s="27" t="s">
        <v>59</v>
      </c>
      <c r="D52" s="14">
        <f>SUMIFS(รายการค่าใช้จ่าย!G6:G205,รายการค่าใช้จ่าย!D6:D205,B52,รายการค่าใช้จ่าย!E6:E205,C52)</f>
        <v>0</v>
      </c>
      <c r="E52" s="14">
        <f>SUMIFS(รายการค่าใช้จ่าย!H6:H205,รายการค่าใช้จ่าย!D6:D205,B52,รายการค่าใช้จ่าย!E6:E205,C52)</f>
        <v>0</v>
      </c>
      <c r="F52" s="15">
        <f t="shared" si="0"/>
        <v>0</v>
      </c>
    </row>
    <row r="53" spans="2:6" x14ac:dyDescent="0.25">
      <c r="B53" s="27" t="s">
        <v>52</v>
      </c>
      <c r="C53" s="27" t="s">
        <v>60</v>
      </c>
      <c r="D53" s="14">
        <f>SUMIFS(รายการค่าใช้จ่าย!G6:G205,รายการค่าใช้จ่าย!D6:D205,B53,รายการค่าใช้จ่าย!E6:E205,C53)</f>
        <v>0</v>
      </c>
      <c r="E53" s="14">
        <f>SUMIFS(รายการค่าใช้จ่าย!H6:H205,รายการค่าใช้จ่าย!D6:D205,B53,รายการค่าใช้จ่าย!E6:E205,C53)</f>
        <v>0</v>
      </c>
      <c r="F53" s="15">
        <f t="shared" si="0"/>
        <v>0</v>
      </c>
    </row>
    <row r="54" spans="2:6" x14ac:dyDescent="0.25">
      <c r="B54" s="27" t="s">
        <v>52</v>
      </c>
      <c r="C54" s="27" t="s">
        <v>61</v>
      </c>
      <c r="D54" s="14">
        <f>SUMIFS(รายการค่าใช้จ่าย!G6:G205,รายการค่าใช้จ่าย!D6:D205,B54,รายการค่าใช้จ่าย!E6:E205,C54)</f>
        <v>0</v>
      </c>
      <c r="E54" s="14">
        <f>SUMIFS(รายการค่าใช้จ่าย!H6:H205,รายการค่าใช้จ่าย!D6:D205,B54,รายการค่าใช้จ่าย!E6:E205,C54)</f>
        <v>0</v>
      </c>
      <c r="F54" s="15">
        <f t="shared" si="0"/>
        <v>0</v>
      </c>
    </row>
    <row r="55" spans="2:6" x14ac:dyDescent="0.25">
      <c r="B55" s="27" t="s">
        <v>52</v>
      </c>
      <c r="C55" s="27" t="s">
        <v>62</v>
      </c>
      <c r="D55" s="14">
        <f>SUMIFS(รายการค่าใช้จ่าย!G6:G205,รายการค่าใช้จ่าย!D6:D205,B55,รายการค่าใช้จ่าย!E6:E205,C55)</f>
        <v>0</v>
      </c>
      <c r="E55" s="14">
        <f>SUMIFS(รายการค่าใช้จ่าย!H6:H205,รายการค่าใช้จ่าย!D6:D205,B55,รายการค่าใช้จ่าย!E6:E205,C55)</f>
        <v>0</v>
      </c>
      <c r="F55" s="15">
        <f t="shared" si="0"/>
        <v>0</v>
      </c>
    </row>
    <row r="56" spans="2:6" x14ac:dyDescent="0.25">
      <c r="B56" s="27" t="s">
        <v>52</v>
      </c>
      <c r="C56" s="27" t="s">
        <v>63</v>
      </c>
      <c r="D56" s="14">
        <f>SUMIFS(รายการค่าใช้จ่าย!G6:G205,รายการค่าใช้จ่าย!D6:D205,B56,รายการค่าใช้จ่าย!E6:E205,C56)</f>
        <v>0</v>
      </c>
      <c r="E56" s="14">
        <f>SUMIFS(รายการค่าใช้จ่าย!H6:H205,รายการค่าใช้จ่าย!D6:D205,B56,รายการค่าใช้จ่าย!E6:E205,C56)</f>
        <v>0</v>
      </c>
      <c r="F56" s="15">
        <f t="shared" si="0"/>
        <v>0</v>
      </c>
    </row>
    <row r="57" spans="2:6" x14ac:dyDescent="0.25">
      <c r="B57" s="27" t="s">
        <v>52</v>
      </c>
      <c r="C57" s="27" t="s">
        <v>64</v>
      </c>
      <c r="D57" s="14">
        <f>SUMIFS(รายการค่าใช้จ่าย!G6:G205,รายการค่าใช้จ่าย!D6:D205,B57,รายการค่าใช้จ่าย!E6:E205,C57)</f>
        <v>0</v>
      </c>
      <c r="E57" s="14">
        <f>SUMIFS(รายการค่าใช้จ่าย!H6:H205,รายการค่าใช้จ่าย!D6:D205,B57,รายการค่าใช้จ่าย!E6:E205,C57)</f>
        <v>0</v>
      </c>
      <c r="F57" s="15">
        <f t="shared" si="0"/>
        <v>0</v>
      </c>
    </row>
    <row r="58" spans="2:6" x14ac:dyDescent="0.25">
      <c r="B58" s="27" t="s">
        <v>52</v>
      </c>
      <c r="C58" s="27" t="s">
        <v>65</v>
      </c>
      <c r="D58" s="14">
        <f>SUMIFS(รายการค่าใช้จ่าย!G6:G205,รายการค่าใช้จ่าย!D6:D205,B58,รายการค่าใช้จ่าย!E6:E205,C58)</f>
        <v>0</v>
      </c>
      <c r="E58" s="14">
        <f>SUMIFS(รายการค่าใช้จ่าย!H6:H205,รายการค่าใช้จ่าย!D6:D205,B58,รายการค่าใช้จ่าย!E6:E205,C58)</f>
        <v>0</v>
      </c>
      <c r="F58" s="15">
        <f t="shared" si="0"/>
        <v>0</v>
      </c>
    </row>
    <row r="59" spans="2:6" x14ac:dyDescent="0.25">
      <c r="B59" s="27" t="s">
        <v>52</v>
      </c>
      <c r="C59" s="27" t="s">
        <v>66</v>
      </c>
      <c r="D59" s="14">
        <f>SUMIFS(รายการค่าใช้จ่าย!G6:G205,รายการค่าใช้จ่าย!D6:D205,B59,รายการค่าใช้จ่าย!E6:E205,C59)</f>
        <v>2168000</v>
      </c>
      <c r="E59" s="14">
        <f>SUMIFS(รายการค่าใช้จ่าย!H6:H205,รายการค่าใช้จ่าย!D6:D205,B59,รายการค่าใช้จ่าย!E6:E205,C59)</f>
        <v>501060.05</v>
      </c>
      <c r="F59" s="15">
        <f t="shared" si="0"/>
        <v>0.23111625922509224</v>
      </c>
    </row>
    <row r="60" spans="2:6" x14ac:dyDescent="0.25">
      <c r="B60" s="27" t="s">
        <v>52</v>
      </c>
      <c r="C60" s="27" t="s">
        <v>67</v>
      </c>
      <c r="D60" s="14">
        <f>SUMIFS(รายการค่าใช้จ่าย!G6:G205,รายการค่าใช้จ่าย!D6:D205,B60,รายการค่าใช้จ่าย!E6:E205,C60)</f>
        <v>49500000</v>
      </c>
      <c r="E60" s="14">
        <f>SUMIFS(รายการค่าใช้จ่าย!H6:H205,รายการค่าใช้จ่าย!D6:D205,B60,รายการค่าใช้จ่าย!E6:E205,C60)</f>
        <v>8723875.2599999998</v>
      </c>
      <c r="F60" s="15">
        <f t="shared" si="0"/>
        <v>0.17623990424242425</v>
      </c>
    </row>
    <row r="61" spans="2:6" x14ac:dyDescent="0.25">
      <c r="B61" s="27" t="s">
        <v>52</v>
      </c>
      <c r="C61" s="27" t="s">
        <v>68</v>
      </c>
      <c r="D61" s="14">
        <f>SUMIFS(รายการค่าใช้จ่าย!G6:G205,รายการค่าใช้จ่าย!D6:D205,B61,รายการค่าใช้จ่าย!E6:E205,C61)</f>
        <v>0</v>
      </c>
      <c r="E61" s="14">
        <f>SUMIFS(รายการค่าใช้จ่าย!H6:H205,รายการค่าใช้จ่าย!D6:D205,B61,รายการค่าใช้จ่าย!E6:E205,C61)</f>
        <v>0</v>
      </c>
      <c r="F61" s="15">
        <f t="shared" si="0"/>
        <v>0</v>
      </c>
    </row>
    <row r="62" spans="2:6" x14ac:dyDescent="0.25">
      <c r="B62" s="27" t="s">
        <v>55</v>
      </c>
      <c r="C62" s="27" t="s">
        <v>51</v>
      </c>
      <c r="D62" s="14">
        <f>SUMIFS(รายการค่าใช้จ่าย!G6:G205,รายการค่าใช้จ่าย!D6:D205,B62,รายการค่าใช้จ่าย!E6:E205,C62)</f>
        <v>0</v>
      </c>
      <c r="E62" s="14">
        <f>SUMIFS(รายการค่าใช้จ่าย!H6:H205,รายการค่าใช้จ่าย!D6:D205,B62,รายการค่าใช้จ่าย!E6:E205,C62)</f>
        <v>0</v>
      </c>
      <c r="F62" s="15">
        <f t="shared" si="0"/>
        <v>0</v>
      </c>
    </row>
    <row r="63" spans="2:6" x14ac:dyDescent="0.25">
      <c r="B63" s="27" t="s">
        <v>55</v>
      </c>
      <c r="C63" s="27" t="s">
        <v>54</v>
      </c>
      <c r="D63" s="14">
        <f>SUMIFS(รายการค่าใช้จ่าย!G6:G205,รายการค่าใช้จ่าย!D6:D205,B63,รายการค่าใช้จ่าย!E6:E205,C63)</f>
        <v>0</v>
      </c>
      <c r="E63" s="14">
        <f>SUMIFS(รายการค่าใช้จ่าย!H6:H205,รายการค่าใช้จ่าย!D6:D205,B63,รายการค่าใช้จ่าย!E6:E205,C63)</f>
        <v>0</v>
      </c>
      <c r="F63" s="15">
        <f t="shared" si="0"/>
        <v>0</v>
      </c>
    </row>
    <row r="64" spans="2:6" x14ac:dyDescent="0.25">
      <c r="B64" s="27" t="s">
        <v>55</v>
      </c>
      <c r="C64" s="27" t="s">
        <v>57</v>
      </c>
      <c r="D64" s="14">
        <f>SUMIFS(รายการค่าใช้จ่าย!G6:G205,รายการค่าใช้จ่าย!D6:D205,B64,รายการค่าใช้จ่าย!E6:E205,C64)</f>
        <v>0</v>
      </c>
      <c r="E64" s="14">
        <f>SUMIFS(รายการค่าใช้จ่าย!H6:H205,รายการค่าใช้จ่าย!D6:D205,B64,รายการค่าใช้จ่าย!E6:E205,C64)</f>
        <v>0</v>
      </c>
      <c r="F64" s="15">
        <f t="shared" si="0"/>
        <v>0</v>
      </c>
    </row>
    <row r="65" spans="2:6" x14ac:dyDescent="0.25">
      <c r="B65" s="27" t="s">
        <v>55</v>
      </c>
      <c r="C65" s="27" t="s">
        <v>59</v>
      </c>
      <c r="D65" s="14">
        <f>SUMIFS(รายการค่าใช้จ่าย!G6:G205,รายการค่าใช้จ่าย!D6:D205,B65,รายการค่าใช้จ่าย!E6:E205,C65)</f>
        <v>0</v>
      </c>
      <c r="E65" s="14">
        <f>SUMIFS(รายการค่าใช้จ่าย!H6:H205,รายการค่าใช้จ่าย!D6:D205,B65,รายการค่าใช้จ่าย!E6:E205,C65)</f>
        <v>0</v>
      </c>
      <c r="F65" s="15">
        <f t="shared" si="0"/>
        <v>0</v>
      </c>
    </row>
    <row r="66" spans="2:6" x14ac:dyDescent="0.25">
      <c r="B66" s="27" t="s">
        <v>55</v>
      </c>
      <c r="C66" s="27" t="s">
        <v>60</v>
      </c>
      <c r="D66" s="14">
        <f>SUMIFS(รายการค่าใช้จ่าย!G6:G205,รายการค่าใช้จ่าย!D6:D205,B66,รายการค่าใช้จ่าย!E6:E205,C66)</f>
        <v>0</v>
      </c>
      <c r="E66" s="14">
        <f>SUMIFS(รายการค่าใช้จ่าย!H6:H205,รายการค่าใช้จ่าย!D6:D205,B66,รายการค่าใช้จ่าย!E6:E205,C66)</f>
        <v>0</v>
      </c>
      <c r="F66" s="15">
        <f t="shared" si="0"/>
        <v>0</v>
      </c>
    </row>
    <row r="67" spans="2:6" x14ac:dyDescent="0.25">
      <c r="B67" s="27" t="s">
        <v>55</v>
      </c>
      <c r="C67" s="27" t="s">
        <v>61</v>
      </c>
      <c r="D67" s="14">
        <f>SUMIFS(รายการค่าใช้จ่าย!G6:G205,รายการค่าใช้จ่าย!D6:D205,B67,รายการค่าใช้จ่าย!E6:E205,C67)</f>
        <v>0</v>
      </c>
      <c r="E67" s="14">
        <f>SUMIFS(รายการค่าใช้จ่าย!H6:H205,รายการค่าใช้จ่าย!D6:D205,B67,รายการค่าใช้จ่าย!E6:E205,C67)</f>
        <v>0</v>
      </c>
      <c r="F67" s="15">
        <f t="shared" si="0"/>
        <v>0</v>
      </c>
    </row>
    <row r="68" spans="2:6" x14ac:dyDescent="0.25">
      <c r="B68" s="27" t="s">
        <v>55</v>
      </c>
      <c r="C68" s="27" t="s">
        <v>62</v>
      </c>
      <c r="D68" s="14">
        <f>SUMIFS(รายการค่าใช้จ่าย!G6:G205,รายการค่าใช้จ่าย!D6:D205,B68,รายการค่าใช้จ่าย!E6:E205,C68)</f>
        <v>0</v>
      </c>
      <c r="E68" s="14">
        <f>SUMIFS(รายการค่าใช้จ่าย!H6:H205,รายการค่าใช้จ่าย!D6:D205,B68,รายการค่าใช้จ่าย!E6:E205,C68)</f>
        <v>0</v>
      </c>
      <c r="F68" s="15">
        <f t="shared" si="0"/>
        <v>0</v>
      </c>
    </row>
    <row r="69" spans="2:6" x14ac:dyDescent="0.25">
      <c r="B69" s="27" t="s">
        <v>55</v>
      </c>
      <c r="C69" s="27" t="s">
        <v>63</v>
      </c>
      <c r="D69" s="14">
        <f>SUMIFS(รายการค่าใช้จ่าย!G6:G205,รายการค่าใช้จ่าย!D6:D205,B69,รายการค่าใช้จ่าย!E6:E205,C69)</f>
        <v>0</v>
      </c>
      <c r="E69" s="14">
        <f>SUMIFS(รายการค่าใช้จ่าย!H6:H205,รายการค่าใช้จ่าย!D6:D205,B69,รายการค่าใช้จ่าย!E6:E205,C69)</f>
        <v>0</v>
      </c>
      <c r="F69" s="15">
        <f t="shared" si="0"/>
        <v>0</v>
      </c>
    </row>
    <row r="70" spans="2:6" x14ac:dyDescent="0.25">
      <c r="B70" s="27" t="s">
        <v>55</v>
      </c>
      <c r="C70" s="27" t="s">
        <v>64</v>
      </c>
      <c r="D70" s="14">
        <f>SUMIFS(รายการค่าใช้จ่าย!G6:G205,รายการค่าใช้จ่าย!D6:D205,B70,รายการค่าใช้จ่าย!E6:E205,C70)</f>
        <v>0</v>
      </c>
      <c r="E70" s="14">
        <f>SUMIFS(รายการค่าใช้จ่าย!H6:H205,รายการค่าใช้จ่าย!D6:D205,B70,รายการค่าใช้จ่าย!E6:E205,C70)</f>
        <v>0</v>
      </c>
      <c r="F70" s="15">
        <f t="shared" si="0"/>
        <v>0</v>
      </c>
    </row>
    <row r="71" spans="2:6" x14ac:dyDescent="0.25">
      <c r="B71" s="27" t="s">
        <v>55</v>
      </c>
      <c r="C71" s="27" t="s">
        <v>65</v>
      </c>
      <c r="D71" s="14">
        <f>SUMIFS(รายการค่าใช้จ่าย!G6:G205,รายการค่าใช้จ่าย!D6:D205,B71,รายการค่าใช้จ่าย!E6:E205,C71)</f>
        <v>0</v>
      </c>
      <c r="E71" s="14">
        <f>SUMIFS(รายการค่าใช้จ่าย!H6:H205,รายการค่าใช้จ่าย!D6:D205,B71,รายการค่าใช้จ่าย!E6:E205,C71)</f>
        <v>0</v>
      </c>
      <c r="F71" s="15">
        <f t="shared" si="0"/>
        <v>0</v>
      </c>
    </row>
    <row r="72" spans="2:6" x14ac:dyDescent="0.25">
      <c r="B72" s="27" t="s">
        <v>55</v>
      </c>
      <c r="C72" s="27" t="s">
        <v>66</v>
      </c>
      <c r="D72" s="14">
        <f>SUMIFS(รายการค่าใช้จ่าย!G6:G205,รายการค่าใช้จ่าย!D6:D205,B72,รายการค่าใช้จ่าย!E6:E205,C72)</f>
        <v>0</v>
      </c>
      <c r="E72" s="14">
        <f>SUMIFS(รายการค่าใช้จ่าย!H6:H205,รายการค่าใช้จ่าย!D6:D205,B72,รายการค่าใช้จ่าย!E6:E205,C72)</f>
        <v>0</v>
      </c>
      <c r="F72" s="15">
        <f t="shared" si="0"/>
        <v>0</v>
      </c>
    </row>
    <row r="73" spans="2:6" x14ac:dyDescent="0.25">
      <c r="B73" s="27" t="s">
        <v>55</v>
      </c>
      <c r="C73" s="27" t="s">
        <v>67</v>
      </c>
      <c r="D73" s="14">
        <f>SUMIFS(รายการค่าใช้จ่าย!G6:G205,รายการค่าใช้จ่าย!D6:D205,B73,รายการค่าใช้จ่าย!E6:E205,C73)</f>
        <v>0</v>
      </c>
      <c r="E73" s="14">
        <f>SUMIFS(รายการค่าใช้จ่าย!H6:H205,รายการค่าใช้จ่าย!D6:D205,B73,รายการค่าใช้จ่าย!E6:E205,C73)</f>
        <v>0</v>
      </c>
      <c r="F73" s="15">
        <f t="shared" si="0"/>
        <v>0</v>
      </c>
    </row>
    <row r="74" spans="2:6" x14ac:dyDescent="0.25">
      <c r="B74" s="27" t="s">
        <v>55</v>
      </c>
      <c r="C74" s="27" t="s">
        <v>68</v>
      </c>
      <c r="D74" s="14">
        <f>SUMIFS(รายการค่าใช้จ่าย!G6:G205,รายการค่าใช้จ่าย!D6:D205,B74,รายการค่าใช้จ่าย!E6:E205,C74)</f>
        <v>15000000</v>
      </c>
      <c r="E74" s="14">
        <f>SUMIFS(รายการค่าใช้จ่าย!H6:H205,รายการค่าใช้จ่าย!D6:D205,B74,รายการค่าใช้จ่าย!E6:E205,C74)</f>
        <v>1031172.77</v>
      </c>
      <c r="F74" s="15">
        <f t="shared" si="0"/>
        <v>6.8744851333333329E-2</v>
      </c>
    </row>
    <row r="76" spans="2:6" x14ac:dyDescent="0.25">
      <c r="B76" s="46" t="s">
        <v>144</v>
      </c>
      <c r="C76" s="46"/>
      <c r="D76" s="46"/>
      <c r="E76" s="46"/>
      <c r="F76" s="46"/>
    </row>
    <row r="77" spans="2:6" x14ac:dyDescent="0.25">
      <c r="B77" s="5" t="s">
        <v>46</v>
      </c>
      <c r="C77" s="5" t="s">
        <v>145</v>
      </c>
      <c r="D77" s="5" t="s">
        <v>146</v>
      </c>
      <c r="E77" s="5" t="s">
        <v>147</v>
      </c>
      <c r="F77" s="5" t="s">
        <v>136</v>
      </c>
    </row>
    <row r="78" spans="2:6" x14ac:dyDescent="0.25">
      <c r="B78" s="27" t="s">
        <v>49</v>
      </c>
      <c r="C78" s="14">
        <f>SUMIFS(รายการรายรับ!H6:H204,รายการรายรับ!D6:D204,B78)</f>
        <v>62236837.869999997</v>
      </c>
      <c r="D78" s="14">
        <f>SUMIFS(รายการค่าใช้จ่าย!H6:H205,รายการค่าใช้จ่าย!D6:D205,B78)</f>
        <v>45995086.909999996</v>
      </c>
      <c r="E78" s="14">
        <f>C78-D78</f>
        <v>16241750.960000001</v>
      </c>
      <c r="F78" s="15">
        <f>IFERROR(SUMIFS(รายการรายรับ!H6:H204,รายการรายรับ!D6:D204,B78)/SUMIFS(รายการรายรับ!G6:G204,รายการรายรับ!D6:D204,B78),0)</f>
        <v>0.49060445266783281</v>
      </c>
    </row>
    <row r="79" spans="2:6" x14ac:dyDescent="0.25">
      <c r="B79" s="27" t="s">
        <v>52</v>
      </c>
      <c r="C79" s="14">
        <f>SUMIFS(รายการรายรับ!H6:H204,รายการรายรับ!D6:D204,B79)</f>
        <v>14966870.75</v>
      </c>
      <c r="D79" s="14">
        <f>SUMIFS(รายการค่าใช้จ่าย!H6:H205,รายการค่าใช้จ่าย!D6:D205,B79)</f>
        <v>9224935.3100000005</v>
      </c>
      <c r="E79" s="14">
        <f>C79-D79</f>
        <v>5741935.4399999995</v>
      </c>
      <c r="F79" s="15">
        <f>IFERROR(SUMIFS(รายการรายรับ!H6:H204,รายการรายรับ!D6:D204,B79)/SUMIFS(รายการรายรับ!G6:G204,รายการรายรับ!D6:D204,B79),0)</f>
        <v>0.26239254470546985</v>
      </c>
    </row>
    <row r="80" spans="2:6" x14ac:dyDescent="0.25">
      <c r="B80" s="27" t="s">
        <v>55</v>
      </c>
      <c r="C80" s="14">
        <f>SUMIFS(รายการรายรับ!H6:H204,รายการรายรับ!D6:D204,B80)</f>
        <v>2312000</v>
      </c>
      <c r="D80" s="14">
        <f>SUMIFS(รายการค่าใช้จ่าย!H6:H205,รายการค่าใช้จ่าย!D6:D205,B80)</f>
        <v>1031172.77</v>
      </c>
      <c r="E80" s="14">
        <f>C80-D80</f>
        <v>1280827.23</v>
      </c>
      <c r="F80" s="15">
        <f>IFERROR(SUMIFS(รายการรายรับ!H6:H204,รายการรายรับ!D6:D204,B80)/SUMIFS(รายการรายรับ!G6:G204,รายการรายรับ!D6:D204,B80),0)</f>
        <v>0.15413333333333334</v>
      </c>
    </row>
    <row r="82" spans="2:7" x14ac:dyDescent="0.25">
      <c r="B82" s="46" t="s">
        <v>148</v>
      </c>
      <c r="C82" s="46"/>
      <c r="D82" s="46"/>
      <c r="E82" s="46"/>
      <c r="F82" s="46"/>
      <c r="G82" s="46"/>
    </row>
    <row r="83" spans="2:7" x14ac:dyDescent="0.25">
      <c r="B83" s="5" t="s">
        <v>108</v>
      </c>
      <c r="C83" s="5" t="s">
        <v>149</v>
      </c>
      <c r="D83" s="5" t="s">
        <v>150</v>
      </c>
      <c r="E83" s="5" t="s">
        <v>111</v>
      </c>
      <c r="F83" s="5" t="s">
        <v>112</v>
      </c>
      <c r="G83" s="5" t="s">
        <v>114</v>
      </c>
    </row>
    <row r="84" spans="2:7" x14ac:dyDescent="0.25">
      <c r="B84" s="27" t="str">
        <f>เงินสะสมรายเดือน!C7</f>
        <v>ตุลาคม</v>
      </c>
      <c r="C84" s="29">
        <f>เงินสะสมรายเดือน!D7</f>
        <v>6975741.9900000002</v>
      </c>
      <c r="D84" s="29">
        <f>เงินสะสมรายเดือน!E7</f>
        <v>13400251.43</v>
      </c>
      <c r="E84" s="29">
        <f>เงินสะสมรายเดือน!F7</f>
        <v>144393405.75</v>
      </c>
      <c r="F84" s="29">
        <f>เงินสะสมรายเดือน!G7</f>
        <v>27674990.490000002</v>
      </c>
      <c r="G84" s="29">
        <f>เงินสะสมรายเดือน!I7</f>
        <v>172068396.24000001</v>
      </c>
    </row>
    <row r="85" spans="2:7" x14ac:dyDescent="0.25">
      <c r="B85" s="27" t="str">
        <f>เงินสะสมรายเดือน!C8</f>
        <v>พฤศจิกายน</v>
      </c>
      <c r="C85" s="29">
        <f>เงินสะสมรายเดือน!D8</f>
        <v>6865514.4200000009</v>
      </c>
      <c r="D85" s="29">
        <f>เงินสะสมรายเดือน!E8</f>
        <v>17135897.079999998</v>
      </c>
      <c r="E85" s="29">
        <f>เงินสะสมรายเดือน!F8</f>
        <v>134277439.19999999</v>
      </c>
      <c r="F85" s="29">
        <f>เงินสะสมรายเดือน!G8</f>
        <v>27520574.380000003</v>
      </c>
      <c r="G85" s="29">
        <f>เงินสะสมรายเดือน!I8</f>
        <v>161798013.57999998</v>
      </c>
    </row>
    <row r="86" spans="2:7" x14ac:dyDescent="0.25">
      <c r="B86" s="27" t="str">
        <f>เงินสะสมรายเดือน!C9</f>
        <v>ธันวาคม</v>
      </c>
      <c r="C86" s="29">
        <f>เงินสะสมรายเดือน!D9</f>
        <v>5731449.7199999997</v>
      </c>
      <c r="D86" s="29">
        <f>เงินสะสมรายเดือน!E9</f>
        <v>12260580.720000001</v>
      </c>
      <c r="E86" s="29">
        <f>เงินสะสมรายเดือน!F9</f>
        <v>125158082.45999999</v>
      </c>
      <c r="F86" s="29">
        <f>เงินสะสมรายเดือน!G9</f>
        <v>30110800.120000001</v>
      </c>
      <c r="G86" s="29">
        <f>เงินสะสมรายเดือน!I9</f>
        <v>155268882.57999998</v>
      </c>
    </row>
    <row r="87" spans="2:7" x14ac:dyDescent="0.25">
      <c r="B87" s="27" t="str">
        <f>เงินสะสมรายเดือน!C10</f>
        <v>มกราคม</v>
      </c>
      <c r="C87" s="29">
        <f>เงินสะสมรายเดือน!D10</f>
        <v>14499881.639999999</v>
      </c>
      <c r="D87" s="29">
        <f>เงินสะสมรายเดือน!E10</f>
        <v>15364980.280000001</v>
      </c>
      <c r="E87" s="29">
        <f>เงินสะสมรายเดือน!F10</f>
        <v>124944320.27</v>
      </c>
      <c r="F87" s="29">
        <f>เงินสะสมรายเดือน!G10</f>
        <v>29459463.669999998</v>
      </c>
      <c r="G87" s="29">
        <f>เงินสะสมรายเดือน!I10</f>
        <v>154403783.94</v>
      </c>
    </row>
    <row r="88" spans="2:7" x14ac:dyDescent="0.25">
      <c r="B88" s="27" t="str">
        <f>เงินสะสมรายเดือน!C11</f>
        <v>กุมภาพันธ์</v>
      </c>
      <c r="C88" s="29">
        <f>เงินสะสมรายเดือน!D11</f>
        <v>4235099.5600000005</v>
      </c>
      <c r="D88" s="29">
        <f>เงินสะสมรายเดือน!E11</f>
        <v>9296265.4499999993</v>
      </c>
      <c r="E88" s="29">
        <f>เงินสะสมรายเดือน!F11</f>
        <v>119987619.17</v>
      </c>
      <c r="F88" s="29">
        <f>เงินสะสมรายเดือน!G11</f>
        <v>29354998.879999995</v>
      </c>
      <c r="G88" s="29">
        <f>เงินสะสมรายเดือน!I11</f>
        <v>149342618.05000001</v>
      </c>
    </row>
    <row r="89" spans="2:7" x14ac:dyDescent="0.25">
      <c r="B89" s="27" t="str">
        <f>เงินสะสมรายเดือน!C12</f>
        <v>มีนาคม</v>
      </c>
      <c r="C89" s="29">
        <f>เงินสะสมรายเดือน!D12</f>
        <v>25255972.079999998</v>
      </c>
      <c r="D89" s="29">
        <f>เงินสะสมรายเดือน!E12</f>
        <v>10838931.229999999</v>
      </c>
      <c r="E89" s="29">
        <f>เงินสะสมรายเดือน!F12</f>
        <v>134589258.44</v>
      </c>
      <c r="F89" s="29">
        <f>เงินสะสมรายเดือน!G12</f>
        <v>29170400.459999993</v>
      </c>
      <c r="G89" s="29">
        <f>เงินสะสมรายเดือน!I12</f>
        <v>163759658.89999998</v>
      </c>
    </row>
    <row r="90" spans="2:7" x14ac:dyDescent="0.25">
      <c r="B90" s="27" t="str">
        <f>เงินสะสมรายเดือน!C13</f>
        <v>เมษายน</v>
      </c>
      <c r="C90" s="29">
        <f>เงินสะสมรายเดือน!D13</f>
        <v>21050413.659999996</v>
      </c>
      <c r="D90" s="29">
        <f>เงินสะสมรายเดือน!E13</f>
        <v>5892404.5199999996</v>
      </c>
      <c r="E90" s="29">
        <f>เงินสะสมรายเดือน!F13</f>
        <v>149087761.18000001</v>
      </c>
      <c r="F90" s="29">
        <f>เงินสะสมรายเดือน!G13</f>
        <v>29829906.859999992</v>
      </c>
      <c r="G90" s="29">
        <f>เงินสะสมรายเดือน!I13</f>
        <v>178917668.03999999</v>
      </c>
    </row>
    <row r="91" spans="2:7" x14ac:dyDescent="0.25">
      <c r="B91" s="27" t="str">
        <f>เงินสะสมรายเดือน!C14</f>
        <v>พฤษภาคม</v>
      </c>
      <c r="C91" s="29">
        <f>เงินสะสมรายเดือน!D14</f>
        <v>15109798.050000001</v>
      </c>
      <c r="D91" s="29">
        <f>เงินสะสมรายเดือน!E14</f>
        <v>15983680.49</v>
      </c>
      <c r="E91" s="29">
        <f>เงินสะสมรายเดือน!F14</f>
        <v>149154182.69</v>
      </c>
      <c r="F91" s="29">
        <f>เงินสะสมรายเดือน!G14</f>
        <v>28889602.909999989</v>
      </c>
      <c r="G91" s="29">
        <f>เงินสะสมรายเดือน!I14</f>
        <v>178043785.59999999</v>
      </c>
    </row>
    <row r="92" spans="2:7" x14ac:dyDescent="0.25">
      <c r="B92" s="27" t="str">
        <f>เงินสะสมรายเดือน!C15</f>
        <v>มิถุนายน</v>
      </c>
      <c r="C92" s="29">
        <f>เงินสะสมรายเดือน!D15</f>
        <v>6173595.2799999993</v>
      </c>
      <c r="D92" s="29">
        <f>เงินสะสมรายเดือน!E15</f>
        <v>15000000</v>
      </c>
      <c r="E92" s="29">
        <f>เงินสะสมรายเดือน!F15</f>
        <v>133665859.38</v>
      </c>
      <c r="F92" s="29">
        <f>เงินสะสมรายเดือน!G15</f>
        <v>32577549.809999999</v>
      </c>
      <c r="G92" s="29">
        <f>เงินสะสมรายเดือน!I15</f>
        <v>166243409.19</v>
      </c>
    </row>
    <row r="93" spans="2:7" x14ac:dyDescent="0.25">
      <c r="B93" s="27" t="str">
        <f>เงินสะสมรายเดือน!C16</f>
        <v>กรกฎาคม</v>
      </c>
      <c r="C93" s="29">
        <f>เงินสะสมรายเดือน!D16</f>
        <v>20000000</v>
      </c>
      <c r="D93" s="29">
        <f>เงินสะสมรายเดือน!E16</f>
        <v>12000000</v>
      </c>
      <c r="E93" s="29">
        <f>เงินสะสมรายเดือน!F16</f>
        <v>128583896.81999999</v>
      </c>
      <c r="F93" s="29">
        <f>เงินสะสมรายเดือน!G16</f>
        <v>42035393.549999997</v>
      </c>
      <c r="G93" s="29">
        <f>เงินสะสมรายเดือน!I16</f>
        <v>170619290.37</v>
      </c>
    </row>
    <row r="94" spans="2:7" x14ac:dyDescent="0.25">
      <c r="B94" s="27" t="str">
        <f>เงินสะสมรายเดือน!C17</f>
        <v>สิงหาคม</v>
      </c>
      <c r="C94" s="29">
        <f>เงินสะสมรายเดือน!D17</f>
        <v>4000000</v>
      </c>
      <c r="D94" s="29">
        <f>เงินสะสมรายเดือน!E17</f>
        <v>10000000</v>
      </c>
      <c r="E94" s="29">
        <f>เงินสะสมรายเดือน!F17</f>
        <v>118259577.73</v>
      </c>
      <c r="F94" s="29">
        <f>เงินสะสมรายเดือน!G17</f>
        <v>43002048.759999998</v>
      </c>
      <c r="G94" s="29">
        <f>เงินสะสมรายเดือน!I17</f>
        <v>161261626.49000001</v>
      </c>
    </row>
    <row r="95" spans="2:7" x14ac:dyDescent="0.25">
      <c r="B95" s="27" t="str">
        <f>เงินสะสมรายเดือน!C18</f>
        <v>กันยายน</v>
      </c>
      <c r="C95" s="29">
        <f>เงินสะสมรายเดือน!D18</f>
        <v>54000000</v>
      </c>
      <c r="D95" s="29">
        <f>เงินสะสมรายเดือน!E18</f>
        <v>24486384.800000001</v>
      </c>
      <c r="E95" s="29">
        <f>เงินสะสมรายเดือน!F18</f>
        <v>149951797.47</v>
      </c>
      <c r="F95" s="29">
        <f>เงินสะสมรายเดือน!G18</f>
        <v>41891871.549999997</v>
      </c>
      <c r="G95" s="29">
        <f>เงินสะสมรายเดือน!I18</f>
        <v>191843669.01999998</v>
      </c>
    </row>
  </sheetData>
  <mergeCells count="7">
    <mergeCell ref="B76:F76"/>
    <mergeCell ref="B82:G82"/>
    <mergeCell ref="B2:G2"/>
    <mergeCell ref="B4:D4"/>
    <mergeCell ref="B12:D12"/>
    <mergeCell ref="B19:G19"/>
    <mergeCell ref="B34:F3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README</vt:lpstr>
      <vt:lpstr>Master_Data</vt:lpstr>
      <vt:lpstr>รายการรายรับ</vt:lpstr>
      <vt:lpstr>รายการค่าใช้จ่าย</vt:lpstr>
      <vt:lpstr>เงินสะสมรายเดือน</vt:lpstr>
      <vt:lpstr>Dashboard_Data</vt:lpstr>
      <vt:lpstr>ExpenseCats</vt:lpstr>
      <vt:lpstr>IncomeCats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KANYAPAK SUWAN</cp:lastModifiedBy>
  <cp:revision>0</cp:revision>
  <dcterms:created xsi:type="dcterms:W3CDTF">2026-05-18T06:47:09Z</dcterms:created>
  <dcterms:modified xsi:type="dcterms:W3CDTF">2026-06-29T06:17:19Z</dcterms:modified>
  <dc:language>en-US</dc:language>
</cp:coreProperties>
</file>